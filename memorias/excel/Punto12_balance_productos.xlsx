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odologia" sheetId="1" state="visible" r:id="rId1"/>
    <sheet name="Tabla_punto12" sheetId="2" state="visible" r:id="rId2"/>
    <sheet name="Balance_estaciones" sheetId="3" state="visible" r:id="rId3"/>
    <sheet name="Desempe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0" fontId="3" fillId="0" borderId="0" pivotButton="0" quotePrefix="0" xfId="0"/>
    <xf numFmtId="2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PUNTO 12 — EVALUACIÓN DE LOS PRODUCTOS DE PRECIPITACIÓN MEDIANTE EL BALANCE HÍDRICO (1981–2010)</t>
        </is>
      </c>
    </row>
    <row r="2">
      <c r="A2" t="inlineStr">
        <is>
          <t>Se repite el balance del punto 9 cambiando sólo la precipitación: IDEAM (kriging), CHIRPS v2.0 (IRI Data Library), ERA5-Land y ERA5. CHIRPS v3.0 (Drive del curso) se evalúa como sensibilidad en resultados/12_balance_productos/chirps_v2.</t>
        </is>
      </c>
    </row>
    <row r="3">
      <c r="A3" t="inlineStr">
        <is>
          <t>P de cada producto: promedio 1981–2010 llevado a la grilla de 90 m (vecino más cercano, punto 11).</t>
        </is>
      </c>
    </row>
    <row r="4">
      <c r="A4" t="inlineStr">
        <is>
          <t>ETP: Hargreaves (punto 6), la misma para todos.  ETR: Budyko celda a celda con la P de cada producto.</t>
        </is>
      </c>
    </row>
    <row r="5">
      <c r="A5" t="inlineStr">
        <is>
          <t>R = P − ETR ;  Q_est = R·A / 31 557 600 s.  Error = (Q_est − Q_obs) / Q_obs.</t>
        </is>
      </c>
    </row>
    <row r="6">
      <c r="A6" t="inlineStr">
        <is>
          <t>Q_obs: caudal medio anual 1981–2010 de años completos (punto 8). En el cierre, Pto. Valdivia transferido por áreas; con Pte. Pescadero rellenada el caudal sería 1020 m³/s.</t>
        </is>
      </c>
    </row>
    <row r="7">
      <c r="A7" t="inlineStr">
        <is>
          <t>P, ETP y ETR son promedios de las celdas de 90 m del área de drenaje (datos de entrada, amarillo); el resto son fórmulas.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0" customWidth="1" min="6" max="6"/>
    <col width="12" customWidth="1" min="7" max="7"/>
    <col width="12" customWidth="1" min="8" max="8"/>
    <col width="10" customWidth="1" min="9" max="9"/>
  </cols>
  <sheetData>
    <row r="1" ht="40" customHeight="1">
      <c r="A1" s="2" t="inlineStr">
        <is>
          <t>Producto</t>
        </is>
      </c>
      <c r="B1" s="2" t="inlineStr">
        <is>
          <t>P anual (mm/año)</t>
        </is>
      </c>
      <c r="C1" s="2" t="inlineStr">
        <is>
          <t>ETR (mm/año)</t>
        </is>
      </c>
      <c r="D1" s="2" t="inlineStr">
        <is>
          <t>Q estimado (mm/año)</t>
        </is>
      </c>
      <c r="E1" s="2" t="inlineStr">
        <is>
          <t>Q observado (mm/año)</t>
        </is>
      </c>
      <c r="F1" s="2" t="inlineStr">
        <is>
          <t>Error (%)</t>
        </is>
      </c>
      <c r="G1" s="2" t="inlineStr">
        <is>
          <t>Q estimado (m³/s)</t>
        </is>
      </c>
      <c r="H1" s="2" t="inlineStr">
        <is>
          <t>Q observado (m³/s)</t>
        </is>
      </c>
      <c r="I1" s="2" t="inlineStr">
        <is>
          <t>A (km²)</t>
        </is>
      </c>
    </row>
    <row r="2">
      <c r="A2" s="3" t="inlineStr">
        <is>
          <t>IDEAM</t>
        </is>
      </c>
      <c r="B2" s="4" t="n">
        <v>1985.2</v>
      </c>
      <c r="C2" s="4" t="n">
        <v>1085.5</v>
      </c>
      <c r="D2" s="5">
        <f>B2-C2</f>
        <v/>
      </c>
      <c r="E2" s="5">
        <f>H2*31557600/(I2*1000000)*1000</f>
        <v/>
      </c>
      <c r="F2" s="5">
        <f>(D2/E2-1)*100</f>
        <v/>
      </c>
      <c r="G2" s="5">
        <f>D2/1000*I2*1000000/31557600</f>
        <v/>
      </c>
      <c r="H2" s="4" t="n">
        <v>1083.65</v>
      </c>
      <c r="I2" s="4" t="n">
        <v>35991.8</v>
      </c>
    </row>
    <row r="3">
      <c r="A3" s="3" t="inlineStr">
        <is>
          <t>CHIRPS</t>
        </is>
      </c>
      <c r="B3" s="4" t="n">
        <v>2026.2</v>
      </c>
      <c r="C3" s="4" t="n">
        <v>1096.5</v>
      </c>
      <c r="D3" s="5">
        <f>B3-C3</f>
        <v/>
      </c>
      <c r="E3" s="5">
        <f>H3*31557600/(I3*1000000)*1000</f>
        <v/>
      </c>
      <c r="F3" s="5">
        <f>(D3/E3-1)*100</f>
        <v/>
      </c>
      <c r="G3" s="5">
        <f>D3/1000*I3*1000000/31557600</f>
        <v/>
      </c>
      <c r="H3" s="4" t="n">
        <v>1083.65</v>
      </c>
      <c r="I3" s="4" t="n">
        <v>35991.8</v>
      </c>
    </row>
    <row r="4">
      <c r="A4" s="3" t="inlineStr">
        <is>
          <t>ERA5-Land</t>
        </is>
      </c>
      <c r="B4" s="4" t="n">
        <v>5961.2</v>
      </c>
      <c r="C4" s="4" t="n">
        <v>1302.6</v>
      </c>
      <c r="D4" s="5">
        <f>B4-C4</f>
        <v/>
      </c>
      <c r="E4" s="5">
        <f>H4*31557600/(I4*1000000)*1000</f>
        <v/>
      </c>
      <c r="F4" s="5">
        <f>(D4/E4-1)*100</f>
        <v/>
      </c>
      <c r="G4" s="5">
        <f>D4/1000*I4*1000000/31557600</f>
        <v/>
      </c>
      <c r="H4" s="4" t="n">
        <v>1083.65</v>
      </c>
      <c r="I4" s="4" t="n">
        <v>35991.8</v>
      </c>
    </row>
    <row r="5">
      <c r="A5" s="3" t="inlineStr">
        <is>
          <t>ERA5</t>
        </is>
      </c>
      <c r="B5" s="4" t="n">
        <v>5976</v>
      </c>
      <c r="C5" s="4" t="n">
        <v>1297.8</v>
      </c>
      <c r="D5" s="5">
        <f>B5-C5</f>
        <v/>
      </c>
      <c r="E5" s="5">
        <f>H5*31557600/(I5*1000000)*1000</f>
        <v/>
      </c>
      <c r="F5" s="5">
        <f>(D5/E5-1)*100</f>
        <v/>
      </c>
      <c r="G5" s="5">
        <f>D5/1000*I5*1000000/31557600</f>
        <v/>
      </c>
      <c r="H5" s="4" t="n">
        <v>1083.65</v>
      </c>
      <c r="I5" s="4" t="n">
        <v>35991.8</v>
      </c>
    </row>
    <row r="7">
      <c r="A7" s="6" t="inlineStr">
        <is>
          <t>Cuenca del río Cauca hasta la presa de Hidroituango (35 992 km²), 1981–2010. Q observado: Pto. Valdivia transferido por relación de áreas.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1" customWidth="1" min="3" max="3"/>
    <col width="9" customWidth="1" min="4" max="4"/>
    <col width="10" customWidth="1" min="5" max="5"/>
    <col width="10" customWidth="1" min="6" max="6"/>
    <col width="8" customWidth="1" min="7" max="7"/>
    <col width="10" customWidth="1" min="8" max="8"/>
    <col width="11" customWidth="1" min="9" max="9"/>
    <col width="11" customWidth="1" min="10" max="10"/>
    <col width="11" customWidth="1" min="11" max="11"/>
    <col width="9" customWidth="1" min="12" max="12"/>
  </cols>
  <sheetData>
    <row r="1" ht="40" customHeight="1">
      <c r="A1" s="2" t="inlineStr">
        <is>
          <t>Código</t>
        </is>
      </c>
      <c r="B1" s="2" t="inlineStr">
        <is>
          <t>Área de drenaje</t>
        </is>
      </c>
      <c r="C1" s="2" t="inlineStr">
        <is>
          <t>Producto</t>
        </is>
      </c>
      <c r="D1" s="2" t="inlineStr">
        <is>
          <t>A (km²)</t>
        </is>
      </c>
      <c r="E1" s="2" t="inlineStr">
        <is>
          <t>P (mm/año)</t>
        </is>
      </c>
      <c r="F1" s="2" t="inlineStr">
        <is>
          <t>ETP (mm/año)</t>
        </is>
      </c>
      <c r="G1" s="2" t="inlineStr">
        <is>
          <t>φ = ETP/P</t>
        </is>
      </c>
      <c r="H1" s="2" t="inlineStr">
        <is>
          <t>ETR (mm/año)</t>
        </is>
      </c>
      <c r="I1" s="2" t="inlineStr">
        <is>
          <t>R = P − ETR (mm/año)</t>
        </is>
      </c>
      <c r="J1" s="2" t="inlineStr">
        <is>
          <t>Q estimado (m³/s)</t>
        </is>
      </c>
      <c r="K1" s="2" t="inlineStr">
        <is>
          <t>Q observado (m³/s)</t>
        </is>
      </c>
      <c r="L1" s="2" t="inlineStr">
        <is>
          <t>Error (%)</t>
        </is>
      </c>
    </row>
    <row r="2">
      <c r="A2" s="3" t="inlineStr">
        <is>
          <t>26027010</t>
        </is>
      </c>
      <c r="B2" s="3" t="inlineStr">
        <is>
          <t>La Balsa</t>
        </is>
      </c>
      <c r="C2" s="3" t="inlineStr">
        <is>
          <t>IDEAM</t>
        </is>
      </c>
      <c r="D2" s="4" t="n">
        <v>5075</v>
      </c>
      <c r="E2" s="4" t="n">
        <v>2270.7</v>
      </c>
      <c r="F2" s="4" t="n">
        <v>1286.7</v>
      </c>
      <c r="G2" s="7">
        <f>F2/E2</f>
        <v/>
      </c>
      <c r="H2" s="4" t="n">
        <v>1080.6</v>
      </c>
      <c r="I2" s="5">
        <f>E2-H2</f>
        <v/>
      </c>
      <c r="J2" s="5">
        <f>I2/1000*D2*1000000/31557600</f>
        <v/>
      </c>
      <c r="K2" s="4" t="n">
        <v>178.86</v>
      </c>
      <c r="L2" s="5">
        <f>(J2/K2-1)*100</f>
        <v/>
      </c>
    </row>
    <row r="3">
      <c r="A3" s="3" t="inlineStr">
        <is>
          <t>26027010</t>
        </is>
      </c>
      <c r="B3" s="3" t="inlineStr">
        <is>
          <t>La Balsa</t>
        </is>
      </c>
      <c r="C3" s="3" t="inlineStr">
        <is>
          <t>CHIRPS</t>
        </is>
      </c>
      <c r="D3" s="4" t="n">
        <v>5075</v>
      </c>
      <c r="E3" s="4" t="n">
        <v>2233.8</v>
      </c>
      <c r="F3" s="4" t="n">
        <v>1286.7</v>
      </c>
      <c r="G3" s="7">
        <f>F3/E3</f>
        <v/>
      </c>
      <c r="H3" s="4" t="n">
        <v>1078</v>
      </c>
      <c r="I3" s="5">
        <f>E3-H3</f>
        <v/>
      </c>
      <c r="J3" s="5">
        <f>I3/1000*D3*1000000/31557600</f>
        <v/>
      </c>
      <c r="K3" s="4" t="n">
        <v>178.86</v>
      </c>
      <c r="L3" s="5">
        <f>(J3/K3-1)*100</f>
        <v/>
      </c>
    </row>
    <row r="4">
      <c r="A4" s="3" t="inlineStr">
        <is>
          <t>26027010</t>
        </is>
      </c>
      <c r="B4" s="3" t="inlineStr">
        <is>
          <t>La Balsa</t>
        </is>
      </c>
      <c r="C4" s="3" t="inlineStr">
        <is>
          <t>ERA5-Land</t>
        </is>
      </c>
      <c r="D4" s="4" t="n">
        <v>5075</v>
      </c>
      <c r="E4" s="4" t="n">
        <v>4332</v>
      </c>
      <c r="F4" s="4" t="n">
        <v>1286.7</v>
      </c>
      <c r="G4" s="7">
        <f>F4/E4</f>
        <v/>
      </c>
      <c r="H4" s="4" t="n">
        <v>1186.5</v>
      </c>
      <c r="I4" s="5">
        <f>E4-H4</f>
        <v/>
      </c>
      <c r="J4" s="5">
        <f>I4/1000*D4*1000000/31557600</f>
        <v/>
      </c>
      <c r="K4" s="4" t="n">
        <v>178.86</v>
      </c>
      <c r="L4" s="5">
        <f>(J4/K4-1)*100</f>
        <v/>
      </c>
    </row>
    <row r="5">
      <c r="A5" s="3" t="inlineStr">
        <is>
          <t>26027010</t>
        </is>
      </c>
      <c r="B5" s="3" t="inlineStr">
        <is>
          <t>La Balsa</t>
        </is>
      </c>
      <c r="C5" s="3" t="inlineStr">
        <is>
          <t>ERA5</t>
        </is>
      </c>
      <c r="D5" s="4" t="n">
        <v>5075</v>
      </c>
      <c r="E5" s="4" t="n">
        <v>4036.7</v>
      </c>
      <c r="F5" s="4" t="n">
        <v>1286.7</v>
      </c>
      <c r="G5" s="7">
        <f>F5/E5</f>
        <v/>
      </c>
      <c r="H5" s="4" t="n">
        <v>1173.8</v>
      </c>
      <c r="I5" s="5">
        <f>E5-H5</f>
        <v/>
      </c>
      <c r="J5" s="5">
        <f>I5/1000*D5*1000000/31557600</f>
        <v/>
      </c>
      <c r="K5" s="4" t="n">
        <v>178.86</v>
      </c>
      <c r="L5" s="5">
        <f>(J5/K5-1)*100</f>
        <v/>
      </c>
    </row>
    <row r="6">
      <c r="A6" s="3" t="inlineStr">
        <is>
          <t>26067010</t>
        </is>
      </c>
      <c r="B6" s="3" t="inlineStr">
        <is>
          <t>Juanchito</t>
        </is>
      </c>
      <c r="C6" s="3" t="inlineStr">
        <is>
          <t>IDEAM</t>
        </is>
      </c>
      <c r="D6" s="4" t="n">
        <v>9344.200000000001</v>
      </c>
      <c r="E6" s="4" t="n">
        <v>2031.5</v>
      </c>
      <c r="F6" s="4" t="n">
        <v>1354.5</v>
      </c>
      <c r="G6" s="7">
        <f>F6/E6</f>
        <v/>
      </c>
      <c r="H6" s="4" t="n">
        <v>1068.5</v>
      </c>
      <c r="I6" s="5">
        <f>E6-H6</f>
        <v/>
      </c>
      <c r="J6" s="5">
        <f>I6/1000*D6*1000000/31557600</f>
        <v/>
      </c>
      <c r="K6" s="4" t="n">
        <v>270.49</v>
      </c>
      <c r="L6" s="5">
        <f>(J6/K6-1)*100</f>
        <v/>
      </c>
    </row>
    <row r="7">
      <c r="A7" s="3" t="inlineStr">
        <is>
          <t>26067010</t>
        </is>
      </c>
      <c r="B7" s="3" t="inlineStr">
        <is>
          <t>Juanchito</t>
        </is>
      </c>
      <c r="C7" s="3" t="inlineStr">
        <is>
          <t>CHIRPS</t>
        </is>
      </c>
      <c r="D7" s="4" t="n">
        <v>9344.200000000001</v>
      </c>
      <c r="E7" s="4" t="n">
        <v>2006.1</v>
      </c>
      <c r="F7" s="4" t="n">
        <v>1354.5</v>
      </c>
      <c r="G7" s="7">
        <f>F7/E7</f>
        <v/>
      </c>
      <c r="H7" s="4" t="n">
        <v>1064.5</v>
      </c>
      <c r="I7" s="5">
        <f>E7-H7</f>
        <v/>
      </c>
      <c r="J7" s="5">
        <f>I7/1000*D7*1000000/31557600</f>
        <v/>
      </c>
      <c r="K7" s="4" t="n">
        <v>270.49</v>
      </c>
      <c r="L7" s="5">
        <f>(J7/K7-1)*100</f>
        <v/>
      </c>
    </row>
    <row r="8">
      <c r="A8" s="3" t="inlineStr">
        <is>
          <t>26067010</t>
        </is>
      </c>
      <c r="B8" s="3" t="inlineStr">
        <is>
          <t>Juanchito</t>
        </is>
      </c>
      <c r="C8" s="3" t="inlineStr">
        <is>
          <t>ERA5-Land</t>
        </is>
      </c>
      <c r="D8" s="4" t="n">
        <v>9344.200000000001</v>
      </c>
      <c r="E8" s="4" t="n">
        <v>4571.3</v>
      </c>
      <c r="F8" s="4" t="n">
        <v>1354.5</v>
      </c>
      <c r="G8" s="7">
        <f>F8/E8</f>
        <v/>
      </c>
      <c r="H8" s="4" t="n">
        <v>1246.4</v>
      </c>
      <c r="I8" s="5">
        <f>E8-H8</f>
        <v/>
      </c>
      <c r="J8" s="5">
        <f>I8/1000*D8*1000000/31557600</f>
        <v/>
      </c>
      <c r="K8" s="4" t="n">
        <v>270.49</v>
      </c>
      <c r="L8" s="5">
        <f>(J8/K8-1)*100</f>
        <v/>
      </c>
    </row>
    <row r="9">
      <c r="A9" s="3" t="inlineStr">
        <is>
          <t>26067010</t>
        </is>
      </c>
      <c r="B9" s="3" t="inlineStr">
        <is>
          <t>Juanchito</t>
        </is>
      </c>
      <c r="C9" s="3" t="inlineStr">
        <is>
          <t>ERA5</t>
        </is>
      </c>
      <c r="D9" s="4" t="n">
        <v>9344.200000000001</v>
      </c>
      <c r="E9" s="4" t="n">
        <v>4398.6</v>
      </c>
      <c r="F9" s="4" t="n">
        <v>1354.5</v>
      </c>
      <c r="G9" s="7">
        <f>F9/E9</f>
        <v/>
      </c>
      <c r="H9" s="4" t="n">
        <v>1231.6</v>
      </c>
      <c r="I9" s="5">
        <f>E9-H9</f>
        <v/>
      </c>
      <c r="J9" s="5">
        <f>I9/1000*D9*1000000/31557600</f>
        <v/>
      </c>
      <c r="K9" s="4" t="n">
        <v>270.49</v>
      </c>
      <c r="L9" s="5">
        <f>(J9/K9-1)*100</f>
        <v/>
      </c>
    </row>
    <row r="10">
      <c r="A10" s="3" t="inlineStr">
        <is>
          <t>26107070</t>
        </is>
      </c>
      <c r="B10" s="3" t="inlineStr">
        <is>
          <t>La Victoria</t>
        </is>
      </c>
      <c r="C10" s="3" t="inlineStr">
        <is>
          <t>IDEAM</t>
        </is>
      </c>
      <c r="D10" s="4" t="n">
        <v>16284.8</v>
      </c>
      <c r="E10" s="4" t="n">
        <v>1776.7</v>
      </c>
      <c r="F10" s="4" t="n">
        <v>1394.5</v>
      </c>
      <c r="G10" s="7">
        <f>F10/E10</f>
        <v/>
      </c>
      <c r="H10" s="4" t="n">
        <v>1026.8</v>
      </c>
      <c r="I10" s="5">
        <f>E10-H10</f>
        <v/>
      </c>
      <c r="J10" s="5">
        <f>I10/1000*D10*1000000/31557600</f>
        <v/>
      </c>
      <c r="K10" s="4" t="n">
        <v>368.76</v>
      </c>
      <c r="L10" s="5">
        <f>(J10/K10-1)*100</f>
        <v/>
      </c>
    </row>
    <row r="11">
      <c r="A11" s="3" t="inlineStr">
        <is>
          <t>26107070</t>
        </is>
      </c>
      <c r="B11" s="3" t="inlineStr">
        <is>
          <t>La Victoria</t>
        </is>
      </c>
      <c r="C11" s="3" t="inlineStr">
        <is>
          <t>CHIRPS</t>
        </is>
      </c>
      <c r="D11" s="4" t="n">
        <v>16284.8</v>
      </c>
      <c r="E11" s="4" t="n">
        <v>1830</v>
      </c>
      <c r="F11" s="4" t="n">
        <v>1394.5</v>
      </c>
      <c r="G11" s="7">
        <f>F11/E11</f>
        <v/>
      </c>
      <c r="H11" s="4" t="n">
        <v>1042.7</v>
      </c>
      <c r="I11" s="5">
        <f>E11-H11</f>
        <v/>
      </c>
      <c r="J11" s="5">
        <f>I11/1000*D11*1000000/31557600</f>
        <v/>
      </c>
      <c r="K11" s="4" t="n">
        <v>368.76</v>
      </c>
      <c r="L11" s="5">
        <f>(J11/K11-1)*100</f>
        <v/>
      </c>
    </row>
    <row r="12">
      <c r="A12" s="3" t="inlineStr">
        <is>
          <t>26107070</t>
        </is>
      </c>
      <c r="B12" s="3" t="inlineStr">
        <is>
          <t>La Victoria</t>
        </is>
      </c>
      <c r="C12" s="3" t="inlineStr">
        <is>
          <t>ERA5-Land</t>
        </is>
      </c>
      <c r="D12" s="4" t="n">
        <v>16284.8</v>
      </c>
      <c r="E12" s="4" t="n">
        <v>5895</v>
      </c>
      <c r="F12" s="4" t="n">
        <v>1394.5</v>
      </c>
      <c r="G12" s="7">
        <f>F12/E12</f>
        <v/>
      </c>
      <c r="H12" s="4" t="n">
        <v>1298.7</v>
      </c>
      <c r="I12" s="5">
        <f>E12-H12</f>
        <v/>
      </c>
      <c r="J12" s="5">
        <f>I12/1000*D12*1000000/31557600</f>
        <v/>
      </c>
      <c r="K12" s="4" t="n">
        <v>368.76</v>
      </c>
      <c r="L12" s="5">
        <f>(J12/K12-1)*100</f>
        <v/>
      </c>
    </row>
    <row r="13">
      <c r="A13" s="3" t="inlineStr">
        <is>
          <t>26107070</t>
        </is>
      </c>
      <c r="B13" s="3" t="inlineStr">
        <is>
          <t>La Victoria</t>
        </is>
      </c>
      <c r="C13" s="3" t="inlineStr">
        <is>
          <t>ERA5</t>
        </is>
      </c>
      <c r="D13" s="4" t="n">
        <v>16284.8</v>
      </c>
      <c r="E13" s="4" t="n">
        <v>5826.6</v>
      </c>
      <c r="F13" s="4" t="n">
        <v>1394.5</v>
      </c>
      <c r="G13" s="7">
        <f>F13/E13</f>
        <v/>
      </c>
      <c r="H13" s="4" t="n">
        <v>1286.8</v>
      </c>
      <c r="I13" s="5">
        <f>E13-H13</f>
        <v/>
      </c>
      <c r="J13" s="5">
        <f>I13/1000*D13*1000000/31557600</f>
        <v/>
      </c>
      <c r="K13" s="4" t="n">
        <v>368.76</v>
      </c>
      <c r="L13" s="5">
        <f>(J13/K13-1)*100</f>
        <v/>
      </c>
    </row>
    <row r="14">
      <c r="A14" s="3" t="inlineStr">
        <is>
          <t>26177030</t>
        </is>
      </c>
      <c r="B14" s="3" t="inlineStr">
        <is>
          <t>La Virginia</t>
        </is>
      </c>
      <c r="C14" s="3" t="inlineStr">
        <is>
          <t>IDEAM</t>
        </is>
      </c>
      <c r="D14" s="4" t="n">
        <v>20549.1</v>
      </c>
      <c r="E14" s="4" t="n">
        <v>1818.9</v>
      </c>
      <c r="F14" s="4" t="n">
        <v>1412.2</v>
      </c>
      <c r="G14" s="7">
        <f>F14/E14</f>
        <v/>
      </c>
      <c r="H14" s="4" t="n">
        <v>1046.9</v>
      </c>
      <c r="I14" s="5">
        <f>E14-H14</f>
        <v/>
      </c>
      <c r="J14" s="5">
        <f>I14/1000*D14*1000000/31557600</f>
        <v/>
      </c>
      <c r="K14" s="4" t="n">
        <v>538.79</v>
      </c>
      <c r="L14" s="5">
        <f>(J14/K14-1)*100</f>
        <v/>
      </c>
    </row>
    <row r="15">
      <c r="A15" s="3" t="inlineStr">
        <is>
          <t>26177030</t>
        </is>
      </c>
      <c r="B15" s="3" t="inlineStr">
        <is>
          <t>La Virginia</t>
        </is>
      </c>
      <c r="C15" s="3" t="inlineStr">
        <is>
          <t>CHIRPS</t>
        </is>
      </c>
      <c r="D15" s="4" t="n">
        <v>20549.1</v>
      </c>
      <c r="E15" s="4" t="n">
        <v>1857.2</v>
      </c>
      <c r="F15" s="4" t="n">
        <v>1412.2</v>
      </c>
      <c r="G15" s="7">
        <f>F15/E15</f>
        <v/>
      </c>
      <c r="H15" s="4" t="n">
        <v>1062.7</v>
      </c>
      <c r="I15" s="5">
        <f>E15-H15</f>
        <v/>
      </c>
      <c r="J15" s="5">
        <f>I15/1000*D15*1000000/31557600</f>
        <v/>
      </c>
      <c r="K15" s="4" t="n">
        <v>538.79</v>
      </c>
      <c r="L15" s="5">
        <f>(J15/K15-1)*100</f>
        <v/>
      </c>
    </row>
    <row r="16">
      <c r="A16" s="3" t="inlineStr">
        <is>
          <t>26177030</t>
        </is>
      </c>
      <c r="B16" s="3" t="inlineStr">
        <is>
          <t>La Virginia</t>
        </is>
      </c>
      <c r="C16" s="3" t="inlineStr">
        <is>
          <t>ERA5-Land</t>
        </is>
      </c>
      <c r="D16" s="4" t="n">
        <v>20549.1</v>
      </c>
      <c r="E16" s="4" t="n">
        <v>6174.7</v>
      </c>
      <c r="F16" s="4" t="n">
        <v>1412.2</v>
      </c>
      <c r="G16" s="7">
        <f>F16/E16</f>
        <v/>
      </c>
      <c r="H16" s="4" t="n">
        <v>1319.7</v>
      </c>
      <c r="I16" s="5">
        <f>E16-H16</f>
        <v/>
      </c>
      <c r="J16" s="5">
        <f>I16/1000*D16*1000000/31557600</f>
        <v/>
      </c>
      <c r="K16" s="4" t="n">
        <v>538.79</v>
      </c>
      <c r="L16" s="5">
        <f>(J16/K16-1)*100</f>
        <v/>
      </c>
    </row>
    <row r="17">
      <c r="A17" s="3" t="inlineStr">
        <is>
          <t>26177030</t>
        </is>
      </c>
      <c r="B17" s="3" t="inlineStr">
        <is>
          <t>La Virginia</t>
        </is>
      </c>
      <c r="C17" s="3" t="inlineStr">
        <is>
          <t>ERA5</t>
        </is>
      </c>
      <c r="D17" s="4" t="n">
        <v>20549.1</v>
      </c>
      <c r="E17" s="4" t="n">
        <v>6053.8</v>
      </c>
      <c r="F17" s="4" t="n">
        <v>1412.2</v>
      </c>
      <c r="G17" s="7">
        <f>F17/E17</f>
        <v/>
      </c>
      <c r="H17" s="4" t="n">
        <v>1308.7</v>
      </c>
      <c r="I17" s="5">
        <f>E17-H17</f>
        <v/>
      </c>
      <c r="J17" s="5">
        <f>I17/1000*D17*1000000/31557600</f>
        <v/>
      </c>
      <c r="K17" s="4" t="n">
        <v>538.79</v>
      </c>
      <c r="L17" s="5">
        <f>(J17/K17-1)*100</f>
        <v/>
      </c>
    </row>
    <row r="18">
      <c r="A18" s="3" t="inlineStr">
        <is>
          <t>26167070</t>
        </is>
      </c>
      <c r="B18" s="3" t="inlineStr">
        <is>
          <t>Irra</t>
        </is>
      </c>
      <c r="C18" s="3" t="inlineStr">
        <is>
          <t>IDEAM</t>
        </is>
      </c>
      <c r="D18" s="4" t="n">
        <v>24571.2</v>
      </c>
      <c r="E18" s="4" t="n">
        <v>1878.8</v>
      </c>
      <c r="F18" s="4" t="n">
        <v>1402.2</v>
      </c>
      <c r="G18" s="7">
        <f>F18/E18</f>
        <v/>
      </c>
      <c r="H18" s="4" t="n">
        <v>1056.3</v>
      </c>
      <c r="I18" s="5">
        <f>E18-H18</f>
        <v/>
      </c>
      <c r="J18" s="5">
        <f>I18/1000*D18*1000000/31557600</f>
        <v/>
      </c>
      <c r="K18" s="4" t="n">
        <v>663.42</v>
      </c>
      <c r="L18" s="5">
        <f>(J18/K18-1)*100</f>
        <v/>
      </c>
    </row>
    <row r="19">
      <c r="A19" s="3" t="inlineStr">
        <is>
          <t>26167070</t>
        </is>
      </c>
      <c r="B19" s="3" t="inlineStr">
        <is>
          <t>Irra</t>
        </is>
      </c>
      <c r="C19" s="3" t="inlineStr">
        <is>
          <t>CHIRPS</t>
        </is>
      </c>
      <c r="D19" s="4" t="n">
        <v>24571.2</v>
      </c>
      <c r="E19" s="4" t="n">
        <v>1915.2</v>
      </c>
      <c r="F19" s="4" t="n">
        <v>1402.2</v>
      </c>
      <c r="G19" s="7">
        <f>F19/E19</f>
        <v/>
      </c>
      <c r="H19" s="4" t="n">
        <v>1070.8</v>
      </c>
      <c r="I19" s="5">
        <f>E19-H19</f>
        <v/>
      </c>
      <c r="J19" s="5">
        <f>I19/1000*D19*1000000/31557600</f>
        <v/>
      </c>
      <c r="K19" s="4" t="n">
        <v>663.42</v>
      </c>
      <c r="L19" s="5">
        <f>(J19/K19-1)*100</f>
        <v/>
      </c>
    </row>
    <row r="20">
      <c r="A20" s="3" t="inlineStr">
        <is>
          <t>26167070</t>
        </is>
      </c>
      <c r="B20" s="3" t="inlineStr">
        <is>
          <t>Irra</t>
        </is>
      </c>
      <c r="C20" s="3" t="inlineStr">
        <is>
          <t>ERA5-Land</t>
        </is>
      </c>
      <c r="D20" s="4" t="n">
        <v>24571.2</v>
      </c>
      <c r="E20" s="4" t="n">
        <v>6910.4</v>
      </c>
      <c r="F20" s="4" t="n">
        <v>1402.2</v>
      </c>
      <c r="G20" s="7">
        <f>F20/E20</f>
        <v/>
      </c>
      <c r="H20" s="4" t="n">
        <v>1316.8</v>
      </c>
      <c r="I20" s="5">
        <f>E20-H20</f>
        <v/>
      </c>
      <c r="J20" s="5">
        <f>I20/1000*D20*1000000/31557600</f>
        <v/>
      </c>
      <c r="K20" s="4" t="n">
        <v>663.42</v>
      </c>
      <c r="L20" s="5">
        <f>(J20/K20-1)*100</f>
        <v/>
      </c>
    </row>
    <row r="21">
      <c r="A21" s="3" t="inlineStr">
        <is>
          <t>26167070</t>
        </is>
      </c>
      <c r="B21" s="3" t="inlineStr">
        <is>
          <t>Irra</t>
        </is>
      </c>
      <c r="C21" s="3" t="inlineStr">
        <is>
          <t>ERA5</t>
        </is>
      </c>
      <c r="D21" s="4" t="n">
        <v>24571.2</v>
      </c>
      <c r="E21" s="4" t="n">
        <v>6949.9</v>
      </c>
      <c r="F21" s="4" t="n">
        <v>1402.2</v>
      </c>
      <c r="G21" s="7">
        <f>F21/E21</f>
        <v/>
      </c>
      <c r="H21" s="4" t="n">
        <v>1307.7</v>
      </c>
      <c r="I21" s="5">
        <f>E21-H21</f>
        <v/>
      </c>
      <c r="J21" s="5">
        <f>I21/1000*D21*1000000/31557600</f>
        <v/>
      </c>
      <c r="K21" s="4" t="n">
        <v>663.42</v>
      </c>
      <c r="L21" s="5">
        <f>(J21/K21-1)*100</f>
        <v/>
      </c>
    </row>
    <row r="22">
      <c r="A22" s="3" t="inlineStr">
        <is>
          <t>26187110</t>
        </is>
      </c>
      <c r="B22" s="3" t="inlineStr">
        <is>
          <t>La Pintada</t>
        </is>
      </c>
      <c r="C22" s="3" t="inlineStr">
        <is>
          <t>IDEAM</t>
        </is>
      </c>
      <c r="D22" s="4" t="n">
        <v>26443.1</v>
      </c>
      <c r="E22" s="4" t="n">
        <v>1900.3</v>
      </c>
      <c r="F22" s="4" t="n">
        <v>1404.5</v>
      </c>
      <c r="G22" s="7">
        <f>F22/E22</f>
        <v/>
      </c>
      <c r="H22" s="4" t="n">
        <v>1063.9</v>
      </c>
      <c r="I22" s="5">
        <f>E22-H22</f>
        <v/>
      </c>
      <c r="J22" s="5">
        <f>I22/1000*D22*1000000/31557600</f>
        <v/>
      </c>
      <c r="K22" s="4" t="n">
        <v>688.88</v>
      </c>
      <c r="L22" s="5">
        <f>(J22/K22-1)*100</f>
        <v/>
      </c>
    </row>
    <row r="23">
      <c r="A23" s="3" t="inlineStr">
        <is>
          <t>26187110</t>
        </is>
      </c>
      <c r="B23" s="3" t="inlineStr">
        <is>
          <t>La Pintada</t>
        </is>
      </c>
      <c r="C23" s="3" t="inlineStr">
        <is>
          <t>CHIRPS</t>
        </is>
      </c>
      <c r="D23" s="4" t="n">
        <v>26443.1</v>
      </c>
      <c r="E23" s="4" t="n">
        <v>1933.1</v>
      </c>
      <c r="F23" s="4" t="n">
        <v>1404.5</v>
      </c>
      <c r="G23" s="7">
        <f>F23/E23</f>
        <v/>
      </c>
      <c r="H23" s="4" t="n">
        <v>1077.2</v>
      </c>
      <c r="I23" s="5">
        <f>E23-H23</f>
        <v/>
      </c>
      <c r="J23" s="5">
        <f>I23/1000*D23*1000000/31557600</f>
        <v/>
      </c>
      <c r="K23" s="4" t="n">
        <v>688.88</v>
      </c>
      <c r="L23" s="5">
        <f>(J23/K23-1)*100</f>
        <v/>
      </c>
    </row>
    <row r="24">
      <c r="A24" s="3" t="inlineStr">
        <is>
          <t>26187110</t>
        </is>
      </c>
      <c r="B24" s="3" t="inlineStr">
        <is>
          <t>La Pintada</t>
        </is>
      </c>
      <c r="C24" s="3" t="inlineStr">
        <is>
          <t>ERA5-Land</t>
        </is>
      </c>
      <c r="D24" s="4" t="n">
        <v>26443.1</v>
      </c>
      <c r="E24" s="4" t="n">
        <v>6851.5</v>
      </c>
      <c r="F24" s="4" t="n">
        <v>1404.5</v>
      </c>
      <c r="G24" s="7">
        <f>F24/E24</f>
        <v/>
      </c>
      <c r="H24" s="4" t="n">
        <v>1319.1</v>
      </c>
      <c r="I24" s="5">
        <f>E24-H24</f>
        <v/>
      </c>
      <c r="J24" s="5">
        <f>I24/1000*D24*1000000/31557600</f>
        <v/>
      </c>
      <c r="K24" s="4" t="n">
        <v>688.88</v>
      </c>
      <c r="L24" s="5">
        <f>(J24/K24-1)*100</f>
        <v/>
      </c>
    </row>
    <row r="25">
      <c r="A25" s="3" t="inlineStr">
        <is>
          <t>26187110</t>
        </is>
      </c>
      <c r="B25" s="3" t="inlineStr">
        <is>
          <t>La Pintada</t>
        </is>
      </c>
      <c r="C25" s="3" t="inlineStr">
        <is>
          <t>ERA5</t>
        </is>
      </c>
      <c r="D25" s="4" t="n">
        <v>26443.1</v>
      </c>
      <c r="E25" s="4" t="n">
        <v>6872.3</v>
      </c>
      <c r="F25" s="4" t="n">
        <v>1404.5</v>
      </c>
      <c r="G25" s="7">
        <f>F25/E25</f>
        <v/>
      </c>
      <c r="H25" s="4" t="n">
        <v>1310.3</v>
      </c>
      <c r="I25" s="5">
        <f>E25-H25</f>
        <v/>
      </c>
      <c r="J25" s="5">
        <f>I25/1000*D25*1000000/31557600</f>
        <v/>
      </c>
      <c r="K25" s="4" t="n">
        <v>688.88</v>
      </c>
      <c r="L25" s="5">
        <f>(J25/K25-1)*100</f>
        <v/>
      </c>
    </row>
    <row r="26">
      <c r="A26" s="3" t="inlineStr">
        <is>
          <t>26207030</t>
        </is>
      </c>
      <c r="B26" s="3" t="inlineStr">
        <is>
          <t>Puente Iglesias</t>
        </is>
      </c>
      <c r="C26" s="3" t="inlineStr">
        <is>
          <t>IDEAM</t>
        </is>
      </c>
      <c r="D26" s="4" t="n">
        <v>29005</v>
      </c>
      <c r="E26" s="4" t="n">
        <v>1945.6</v>
      </c>
      <c r="F26" s="4" t="n">
        <v>1398.2</v>
      </c>
      <c r="G26" s="7">
        <f>F26/E26</f>
        <v/>
      </c>
      <c r="H26" s="4" t="n">
        <v>1069.4</v>
      </c>
      <c r="I26" s="5">
        <f>E26-H26</f>
        <v/>
      </c>
      <c r="J26" s="5">
        <f>I26/1000*D26*1000000/31557600</f>
        <v/>
      </c>
      <c r="K26" s="4" t="n">
        <v>755</v>
      </c>
      <c r="L26" s="5">
        <f>(J26/K26-1)*100</f>
        <v/>
      </c>
    </row>
    <row r="27">
      <c r="A27" s="3" t="inlineStr">
        <is>
          <t>26207030</t>
        </is>
      </c>
      <c r="B27" s="3" t="inlineStr">
        <is>
          <t>Puente Iglesias</t>
        </is>
      </c>
      <c r="C27" s="3" t="inlineStr">
        <is>
          <t>CHIRPS</t>
        </is>
      </c>
      <c r="D27" s="4" t="n">
        <v>29005</v>
      </c>
      <c r="E27" s="4" t="n">
        <v>1987.6</v>
      </c>
      <c r="F27" s="4" t="n">
        <v>1398.2</v>
      </c>
      <c r="G27" s="7">
        <f>F27/E27</f>
        <v/>
      </c>
      <c r="H27" s="4" t="n">
        <v>1082.4</v>
      </c>
      <c r="I27" s="5">
        <f>E27-H27</f>
        <v/>
      </c>
      <c r="J27" s="5">
        <f>I27/1000*D27*1000000/31557600</f>
        <v/>
      </c>
      <c r="K27" s="4" t="n">
        <v>755</v>
      </c>
      <c r="L27" s="5">
        <f>(J27/K27-1)*100</f>
        <v/>
      </c>
    </row>
    <row r="28">
      <c r="A28" s="3" t="inlineStr">
        <is>
          <t>26207030</t>
        </is>
      </c>
      <c r="B28" s="3" t="inlineStr">
        <is>
          <t>Puente Iglesias</t>
        </is>
      </c>
      <c r="C28" s="3" t="inlineStr">
        <is>
          <t>ERA5-Land</t>
        </is>
      </c>
      <c r="D28" s="4" t="n">
        <v>29005</v>
      </c>
      <c r="E28" s="4" t="n">
        <v>6577.9</v>
      </c>
      <c r="F28" s="4" t="n">
        <v>1398.2</v>
      </c>
      <c r="G28" s="7">
        <f>F28/E28</f>
        <v/>
      </c>
      <c r="H28" s="4" t="n">
        <v>1309.6</v>
      </c>
      <c r="I28" s="5">
        <f>E28-H28</f>
        <v/>
      </c>
      <c r="J28" s="5">
        <f>I28/1000*D28*1000000/31557600</f>
        <v/>
      </c>
      <c r="K28" s="4" t="n">
        <v>755</v>
      </c>
      <c r="L28" s="5">
        <f>(J28/K28-1)*100</f>
        <v/>
      </c>
    </row>
    <row r="29">
      <c r="A29" s="3" t="inlineStr">
        <is>
          <t>26207030</t>
        </is>
      </c>
      <c r="B29" s="3" t="inlineStr">
        <is>
          <t>Puente Iglesias</t>
        </is>
      </c>
      <c r="C29" s="3" t="inlineStr">
        <is>
          <t>ERA5</t>
        </is>
      </c>
      <c r="D29" s="4" t="n">
        <v>29005</v>
      </c>
      <c r="E29" s="4" t="n">
        <v>6585.8</v>
      </c>
      <c r="F29" s="4" t="n">
        <v>1398.2</v>
      </c>
      <c r="G29" s="7">
        <f>F29/E29</f>
        <v/>
      </c>
      <c r="H29" s="4" t="n">
        <v>1301.1</v>
      </c>
      <c r="I29" s="5">
        <f>E29-H29</f>
        <v/>
      </c>
      <c r="J29" s="5">
        <f>I29/1000*D29*1000000/31557600</f>
        <v/>
      </c>
      <c r="K29" s="4" t="n">
        <v>755</v>
      </c>
      <c r="L29" s="5">
        <f>(J29/K29-1)*100</f>
        <v/>
      </c>
    </row>
    <row r="30">
      <c r="A30" s="3" t="inlineStr">
        <is>
          <t>26207080</t>
        </is>
      </c>
      <c r="B30" s="3" t="inlineStr">
        <is>
          <t>Bolombolo</t>
        </is>
      </c>
      <c r="C30" s="3" t="inlineStr">
        <is>
          <t>IDEAM</t>
        </is>
      </c>
      <c r="D30" s="4" t="n">
        <v>30994.6</v>
      </c>
      <c r="E30" s="4" t="n">
        <v>1980.7</v>
      </c>
      <c r="F30" s="4" t="n">
        <v>1399.5</v>
      </c>
      <c r="G30" s="7">
        <f>F30/E30</f>
        <v/>
      </c>
      <c r="H30" s="4" t="n">
        <v>1077.5</v>
      </c>
      <c r="I30" s="5">
        <f>E30-H30</f>
        <v/>
      </c>
      <c r="J30" s="5">
        <f>I30/1000*D30*1000000/31557600</f>
        <v/>
      </c>
      <c r="K30" s="4" t="n">
        <v>877.6799999999999</v>
      </c>
      <c r="L30" s="5">
        <f>(J30/K30-1)*100</f>
        <v/>
      </c>
    </row>
    <row r="31">
      <c r="A31" s="3" t="inlineStr">
        <is>
          <t>26207080</t>
        </is>
      </c>
      <c r="B31" s="3" t="inlineStr">
        <is>
          <t>Bolombolo</t>
        </is>
      </c>
      <c r="C31" s="3" t="inlineStr">
        <is>
          <t>CHIRPS</t>
        </is>
      </c>
      <c r="D31" s="4" t="n">
        <v>30994.6</v>
      </c>
      <c r="E31" s="4" t="n">
        <v>2028.1</v>
      </c>
      <c r="F31" s="4" t="n">
        <v>1399.5</v>
      </c>
      <c r="G31" s="7">
        <f>F31/E31</f>
        <v/>
      </c>
      <c r="H31" s="4" t="n">
        <v>1090.3</v>
      </c>
      <c r="I31" s="5">
        <f>E31-H31</f>
        <v/>
      </c>
      <c r="J31" s="5">
        <f>I31/1000*D31*1000000/31557600</f>
        <v/>
      </c>
      <c r="K31" s="4" t="n">
        <v>877.6799999999999</v>
      </c>
      <c r="L31" s="5">
        <f>(J31/K31-1)*100</f>
        <v/>
      </c>
    </row>
    <row r="32">
      <c r="A32" s="3" t="inlineStr">
        <is>
          <t>26207080</t>
        </is>
      </c>
      <c r="B32" s="3" t="inlineStr">
        <is>
          <t>Bolombolo</t>
        </is>
      </c>
      <c r="C32" s="3" t="inlineStr">
        <is>
          <t>ERA5-Land</t>
        </is>
      </c>
      <c r="D32" s="4" t="n">
        <v>30994.6</v>
      </c>
      <c r="E32" s="4" t="n">
        <v>6389.1</v>
      </c>
      <c r="F32" s="4" t="n">
        <v>1399.5</v>
      </c>
      <c r="G32" s="7">
        <f>F32/E32</f>
        <v/>
      </c>
      <c r="H32" s="4" t="n">
        <v>1306.1</v>
      </c>
      <c r="I32" s="5">
        <f>E32-H32</f>
        <v/>
      </c>
      <c r="J32" s="5">
        <f>I32/1000*D32*1000000/31557600</f>
        <v/>
      </c>
      <c r="K32" s="4" t="n">
        <v>877.6799999999999</v>
      </c>
      <c r="L32" s="5">
        <f>(J32/K32-1)*100</f>
        <v/>
      </c>
    </row>
    <row r="33">
      <c r="A33" s="3" t="inlineStr">
        <is>
          <t>26207080</t>
        </is>
      </c>
      <c r="B33" s="3" t="inlineStr">
        <is>
          <t>Bolombolo</t>
        </is>
      </c>
      <c r="C33" s="3" t="inlineStr">
        <is>
          <t>ERA5</t>
        </is>
      </c>
      <c r="D33" s="4" t="n">
        <v>30994.6</v>
      </c>
      <c r="E33" s="4" t="n">
        <v>6411.4</v>
      </c>
      <c r="F33" s="4" t="n">
        <v>1399.5</v>
      </c>
      <c r="G33" s="7">
        <f>F33/E33</f>
        <v/>
      </c>
      <c r="H33" s="4" t="n">
        <v>1299.3</v>
      </c>
      <c r="I33" s="5">
        <f>E33-H33</f>
        <v/>
      </c>
      <c r="J33" s="5">
        <f>I33/1000*D33*1000000/31557600</f>
        <v/>
      </c>
      <c r="K33" s="4" t="n">
        <v>877.6799999999999</v>
      </c>
      <c r="L33" s="5">
        <f>(J33/K33-1)*100</f>
        <v/>
      </c>
    </row>
    <row r="34">
      <c r="A34" s="3" t="inlineStr">
        <is>
          <t>26217050</t>
        </is>
      </c>
      <c r="B34" s="3" t="inlineStr">
        <is>
          <t>Cañafisto</t>
        </is>
      </c>
      <c r="C34" s="3" t="inlineStr">
        <is>
          <t>IDEAM</t>
        </is>
      </c>
      <c r="D34" s="4" t="n">
        <v>32704.4</v>
      </c>
      <c r="E34" s="4" t="n">
        <v>1990.8</v>
      </c>
      <c r="F34" s="4" t="n">
        <v>1404.6</v>
      </c>
      <c r="G34" s="7">
        <f>F34/E34</f>
        <v/>
      </c>
      <c r="H34" s="4" t="n">
        <v>1083.5</v>
      </c>
      <c r="I34" s="5">
        <f>E34-H34</f>
        <v/>
      </c>
      <c r="J34" s="5">
        <f>I34/1000*D34*1000000/31557600</f>
        <v/>
      </c>
      <c r="K34" s="4" t="n">
        <v>912.3200000000001</v>
      </c>
      <c r="L34" s="5">
        <f>(J34/K34-1)*100</f>
        <v/>
      </c>
    </row>
    <row r="35">
      <c r="A35" s="3" t="inlineStr">
        <is>
          <t>26217050</t>
        </is>
      </c>
      <c r="B35" s="3" t="inlineStr">
        <is>
          <t>Cañafisto</t>
        </is>
      </c>
      <c r="C35" s="3" t="inlineStr">
        <is>
          <t>CHIRPS</t>
        </is>
      </c>
      <c r="D35" s="4" t="n">
        <v>32704.4</v>
      </c>
      <c r="E35" s="4" t="n">
        <v>2035.1</v>
      </c>
      <c r="F35" s="4" t="n">
        <v>1404.6</v>
      </c>
      <c r="G35" s="7">
        <f>F35/E35</f>
        <v/>
      </c>
      <c r="H35" s="4" t="n">
        <v>1095.6</v>
      </c>
      <c r="I35" s="5">
        <f>E35-H35</f>
        <v/>
      </c>
      <c r="J35" s="5">
        <f>I35/1000*D35*1000000/31557600</f>
        <v/>
      </c>
      <c r="K35" s="4" t="n">
        <v>912.3200000000001</v>
      </c>
      <c r="L35" s="5">
        <f>(J35/K35-1)*100</f>
        <v/>
      </c>
    </row>
    <row r="36">
      <c r="A36" s="3" t="inlineStr">
        <is>
          <t>26217050</t>
        </is>
      </c>
      <c r="B36" s="3" t="inlineStr">
        <is>
          <t>Cañafisto</t>
        </is>
      </c>
      <c r="C36" s="3" t="inlineStr">
        <is>
          <t>ERA5-Land</t>
        </is>
      </c>
      <c r="D36" s="4" t="n">
        <v>32704.4</v>
      </c>
      <c r="E36" s="4" t="n">
        <v>6195.2</v>
      </c>
      <c r="F36" s="4" t="n">
        <v>1404.6</v>
      </c>
      <c r="G36" s="7">
        <f>F36/E36</f>
        <v/>
      </c>
      <c r="H36" s="4" t="n">
        <v>1303.3</v>
      </c>
      <c r="I36" s="5">
        <f>E36-H36</f>
        <v/>
      </c>
      <c r="J36" s="5">
        <f>I36/1000*D36*1000000/31557600</f>
        <v/>
      </c>
      <c r="K36" s="4" t="n">
        <v>912.3200000000001</v>
      </c>
      <c r="L36" s="5">
        <f>(J36/K36-1)*100</f>
        <v/>
      </c>
    </row>
    <row r="37">
      <c r="A37" s="3" t="inlineStr">
        <is>
          <t>26217050</t>
        </is>
      </c>
      <c r="B37" s="3" t="inlineStr">
        <is>
          <t>Cañafisto</t>
        </is>
      </c>
      <c r="C37" s="3" t="inlineStr">
        <is>
          <t>ERA5</t>
        </is>
      </c>
      <c r="D37" s="4" t="n">
        <v>32704.4</v>
      </c>
      <c r="E37" s="4" t="n">
        <v>6228.7</v>
      </c>
      <c r="F37" s="4" t="n">
        <v>1404.6</v>
      </c>
      <c r="G37" s="7">
        <f>F37/E37</f>
        <v/>
      </c>
      <c r="H37" s="4" t="n">
        <v>1298.9</v>
      </c>
      <c r="I37" s="5">
        <f>E37-H37</f>
        <v/>
      </c>
      <c r="J37" s="5">
        <f>I37/1000*D37*1000000/31557600</f>
        <v/>
      </c>
      <c r="K37" s="4" t="n">
        <v>912.3200000000001</v>
      </c>
      <c r="L37" s="5">
        <f>(J37/K37-1)*100</f>
        <v/>
      </c>
    </row>
    <row r="38">
      <c r="A38" s="3" t="inlineStr">
        <is>
          <t>HIDRO</t>
        </is>
      </c>
      <c r="B38" s="3" t="inlineStr">
        <is>
          <t>HIDROITUANGO (cierre)</t>
        </is>
      </c>
      <c r="C38" s="3" t="inlineStr">
        <is>
          <t>IDEAM</t>
        </is>
      </c>
      <c r="D38" s="4" t="n">
        <v>35991.8</v>
      </c>
      <c r="E38" s="4" t="n">
        <v>1985.2</v>
      </c>
      <c r="F38" s="4" t="n">
        <v>1408.6</v>
      </c>
      <c r="G38" s="7">
        <f>F38/E38</f>
        <v/>
      </c>
      <c r="H38" s="4" t="n">
        <v>1085.5</v>
      </c>
      <c r="I38" s="5">
        <f>E38-H38</f>
        <v/>
      </c>
      <c r="J38" s="5">
        <f>I38/1000*D38*1000000/31557600</f>
        <v/>
      </c>
      <c r="K38" s="4" t="n">
        <v>1083.65</v>
      </c>
      <c r="L38" s="5">
        <f>(J38/K38-1)*100</f>
        <v/>
      </c>
    </row>
    <row r="39">
      <c r="A39" s="3" t="inlineStr">
        <is>
          <t>HIDRO</t>
        </is>
      </c>
      <c r="B39" s="3" t="inlineStr">
        <is>
          <t>HIDROITUANGO (cierre)</t>
        </is>
      </c>
      <c r="C39" s="3" t="inlineStr">
        <is>
          <t>CHIRPS</t>
        </is>
      </c>
      <c r="D39" s="4" t="n">
        <v>35991.8</v>
      </c>
      <c r="E39" s="4" t="n">
        <v>2026.2</v>
      </c>
      <c r="F39" s="4" t="n">
        <v>1408.6</v>
      </c>
      <c r="G39" s="7">
        <f>F39/E39</f>
        <v/>
      </c>
      <c r="H39" s="4" t="n">
        <v>1096.5</v>
      </c>
      <c r="I39" s="5">
        <f>E39-H39</f>
        <v/>
      </c>
      <c r="J39" s="5">
        <f>I39/1000*D39*1000000/31557600</f>
        <v/>
      </c>
      <c r="K39" s="4" t="n">
        <v>1083.65</v>
      </c>
      <c r="L39" s="5">
        <f>(J39/K39-1)*100</f>
        <v/>
      </c>
    </row>
    <row r="40">
      <c r="A40" s="3" t="inlineStr">
        <is>
          <t>HIDRO</t>
        </is>
      </c>
      <c r="B40" s="3" t="inlineStr">
        <is>
          <t>HIDROITUANGO (cierre)</t>
        </is>
      </c>
      <c r="C40" s="3" t="inlineStr">
        <is>
          <t>ERA5-Land</t>
        </is>
      </c>
      <c r="D40" s="4" t="n">
        <v>35991.8</v>
      </c>
      <c r="E40" s="4" t="n">
        <v>5961.2</v>
      </c>
      <c r="F40" s="4" t="n">
        <v>1408.6</v>
      </c>
      <c r="G40" s="7">
        <f>F40/E40</f>
        <v/>
      </c>
      <c r="H40" s="4" t="n">
        <v>1302.6</v>
      </c>
      <c r="I40" s="5">
        <f>E40-H40</f>
        <v/>
      </c>
      <c r="J40" s="5">
        <f>I40/1000*D40*1000000/31557600</f>
        <v/>
      </c>
      <c r="K40" s="4" t="n">
        <v>1083.65</v>
      </c>
      <c r="L40" s="5">
        <f>(J40/K40-1)*100</f>
        <v/>
      </c>
    </row>
    <row r="41">
      <c r="A41" s="3" t="inlineStr">
        <is>
          <t>HIDRO</t>
        </is>
      </c>
      <c r="B41" s="3" t="inlineStr">
        <is>
          <t>HIDROITUANGO (cierre)</t>
        </is>
      </c>
      <c r="C41" s="3" t="inlineStr">
        <is>
          <t>ERA5</t>
        </is>
      </c>
      <c r="D41" s="4" t="n">
        <v>35991.8</v>
      </c>
      <c r="E41" s="4" t="n">
        <v>5976</v>
      </c>
      <c r="F41" s="4" t="n">
        <v>1408.6</v>
      </c>
      <c r="G41" s="7">
        <f>F41/E41</f>
        <v/>
      </c>
      <c r="H41" s="4" t="n">
        <v>1297.8</v>
      </c>
      <c r="I41" s="5">
        <f>E41-H41</f>
        <v/>
      </c>
      <c r="J41" s="5">
        <f>I41/1000*D41*1000000/31557600</f>
        <v/>
      </c>
      <c r="K41" s="4" t="n">
        <v>1083.65</v>
      </c>
      <c r="L41" s="5">
        <f>(J41/K41-1)*100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</cols>
  <sheetData>
    <row r="1" ht="40" customHeight="1">
      <c r="A1" s="2" t="inlineStr">
        <is>
          <t>Producto</t>
        </is>
      </c>
      <c r="B1" s="2" t="inlineStr">
        <is>
          <t>Sesgo medio (%)</t>
        </is>
      </c>
      <c r="C1" s="2" t="inlineStr">
        <is>
          <t>Error absoluto medio (%)</t>
        </is>
      </c>
      <c r="D1" s="2" t="inlineStr">
        <is>
          <t>RMSE relativo (%)</t>
        </is>
      </c>
      <c r="E1" s="2" t="inlineStr">
        <is>
          <t>Correlación Q est–Q obs</t>
        </is>
      </c>
    </row>
    <row r="2">
      <c r="A2" s="3" t="inlineStr">
        <is>
          <t>IDEAM</t>
        </is>
      </c>
      <c r="B2" s="5">
        <f>AVERAGEIFS(Balance_estaciones!$L$2:$L$41,Balance_estaciones!$C$2:$C$41,"IDEAM",Balance_estaciones!$A$2:$A$41,"&lt;&gt;HIDRO")</f>
        <v/>
      </c>
      <c r="C2" s="5" t="n">
        <v>4.45</v>
      </c>
      <c r="D2" s="5" t="n">
        <v>4.92</v>
      </c>
      <c r="E2" s="8" t="n">
        <v>0.9955000000000001</v>
      </c>
    </row>
    <row r="3">
      <c r="A3" s="3" t="inlineStr">
        <is>
          <t>CHIRPS</t>
        </is>
      </c>
      <c r="B3" s="5">
        <f>AVERAGEIFS(Balance_estaciones!$L$2:$L$41,Balance_estaciones!$C$2:$C$41,"CHIRPS",Balance_estaciones!$A$2:$A$41,"&lt;&gt;HIDRO")</f>
        <v/>
      </c>
      <c r="C3" s="5" t="n">
        <v>5.34</v>
      </c>
      <c r="D3" s="5" t="n">
        <v>6.11</v>
      </c>
      <c r="E3" s="8" t="n">
        <v>0.9953</v>
      </c>
    </row>
    <row r="4">
      <c r="A4" s="3" t="inlineStr">
        <is>
          <t>ERA5-Land</t>
        </is>
      </c>
      <c r="B4" s="5">
        <f>AVERAGEIFS(Balance_estaciones!$L$2:$L$41,Balance_estaciones!$C$2:$C$41,"ERA5-Land",Balance_estaciones!$A$2:$A$41,"&lt;&gt;HIDRO")</f>
        <v/>
      </c>
      <c r="C4" s="5" t="n">
        <v>452.45</v>
      </c>
      <c r="D4" s="5" t="n">
        <v>470.64</v>
      </c>
      <c r="E4" s="8" t="n">
        <v>0.9746</v>
      </c>
    </row>
    <row r="5">
      <c r="A5" s="3" t="inlineStr">
        <is>
          <t>ERA5</t>
        </is>
      </c>
      <c r="B5" s="5">
        <f>AVERAGEIFS(Balance_estaciones!$L$2:$L$41,Balance_estaciones!$C$2:$C$41,"ERA5",Balance_estaciones!$A$2:$A$41,"&lt;&gt;HIDRO")</f>
        <v/>
      </c>
      <c r="C5" s="5" t="n">
        <v>447.44</v>
      </c>
      <c r="D5" s="5" t="n">
        <v>468.39</v>
      </c>
      <c r="E5" s="8" t="n">
        <v>0.9748</v>
      </c>
    </row>
    <row r="7">
      <c r="A7" s="6" t="inlineStr">
        <is>
          <t>Estadísticos sobre las 9 estaciones (sin el cierre). MAE, RMSE y r calculados en Python (los rangos condicionales no admiten ABS/SUMSQ sin fórmulas matriciales).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2026-10-14T18:05:23Z</dcterms:created>
  <dcterms:modified xsi:type="dcterms:W3CDTF">2026-10-14T18:05:23Z</dcterms:modified>
</cp:coreProperties>
</file>