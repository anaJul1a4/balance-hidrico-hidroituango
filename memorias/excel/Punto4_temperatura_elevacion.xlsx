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Datos_anuales" sheetId="3" state="visible" r:id="rId3"/>
    <sheet xmlns:r="http://schemas.openxmlformats.org/officeDocument/2006/relationships" name="Regresiones" sheetId="4" state="visible" r:id="rId4"/>
    <sheet xmlns:r="http://schemas.openxmlformats.org/officeDocument/2006/relationships" name="Datos_mensuales" sheetId="5" state="visible" r:id="rId5"/>
    <sheet xmlns:r="http://schemas.openxmlformats.org/officeDocument/2006/relationships" name="Regresiones_mensuales" sheetId="6" state="visible" r:id="rId6"/>
    <sheet xmlns:r="http://schemas.openxmlformats.org/officeDocument/2006/relationships" name="Sensibilidad_atipicos" sheetId="7" state="visible" r:id="rId7"/>
    <sheet xmlns:r="http://schemas.openxmlformats.org/officeDocument/2006/relationships" name="Diagram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5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2286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572125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572125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572125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PUNTO 4 — RELACIÓN TEMPERATURA–ELEVACIÓN</t>
        </is>
      </c>
    </row>
    <row r="2">
      <c r="A2" t="inlineStr">
        <is>
          <t>Cuenca del río Cauca hasta la presa de Hidroituango. Fuente: IDEAM, Promedios Climatológicos 1981–2010.</t>
        </is>
      </c>
    </row>
    <row r="3">
      <c r="A3" t="inlineStr">
        <is>
          <t>Modelo: T = T0 − α·Z  (regresión T = a + b·Z  ⇒  T0 = a, α = −b; Anexo 1)</t>
        </is>
      </c>
    </row>
    <row r="4">
      <c r="A4" t="inlineStr"/>
    </row>
    <row r="5">
      <c r="A5" s="1" t="inlineStr">
        <is>
          <t>Criterios de selección de estaciones</t>
        </is>
      </c>
    </row>
    <row r="6">
      <c r="A6" t="inlineStr">
        <is>
          <t>1. Ubicación dentro de la cuenca delimitada (DEM GLO-30, 90 m).</t>
        </is>
      </c>
    </row>
    <row r="7">
      <c r="A7" t="inlineStr">
        <is>
          <t>2. Tmed, Tmax y Tmin con los 12 meses completos; el mismo conjunto de estaciones para las tres regresiones.</t>
        </is>
      </c>
    </row>
    <row r="8">
      <c r="A8" t="inlineStr">
        <is>
          <t>3. Coherencia física: Tmin &lt; Tmed &lt; Tmax.</t>
        </is>
      </c>
    </row>
    <row r="9">
      <c r="A9" t="inlineStr">
        <is>
          <t>4. Ubicación verificable: se excluye Aragón (27015110); su coordenada cae a 512 m en el cañón del Cauca, pero la estación está a 2600 m en Santa Rosa de Osos (cuenca del Nechí).</t>
        </is>
      </c>
    </row>
    <row r="10">
      <c r="A10" t="inlineStr">
        <is>
          <t>5. Atípicos: |residuo estudentizado| &gt; 2.5. Se señalan y se conservan; ver hoja 'Sensibilidad_atipicos'.</t>
        </is>
      </c>
    </row>
    <row r="11">
      <c r="A11" t="inlineStr">
        <is>
          <t>Z = elevación del catálogo IDEAM (medida en la estación). La hoja 'Inventario' compara con el DEM.</t>
        </is>
      </c>
    </row>
    <row r="12">
      <c r="A12" t="inlineStr"/>
    </row>
    <row r="13">
      <c r="A13" s="1" t="inlineStr">
        <is>
          <t>Estaciones en la cuenca: 54   |   Seleccionadas: 47   |   Rango de Z: 530–4150 m</t>
        </is>
      </c>
    </row>
    <row r="14">
      <c r="A14" t="inlineStr"/>
    </row>
    <row r="15">
      <c r="A15" t="inlineStr">
        <is>
          <t>Hojas: Inventario · Datos_anuales (cálculos por estación) · Regresiones (resultados) · Datos_mensuales · Regresiones_mensuales (insumo ETP Hargreaves) · Sensibilidad_atipicos · Diagramas</t>
        </is>
      </c>
    </row>
    <row r="16">
      <c r="A16" t="inlineStr">
        <is>
          <t>Todas las celdas de cálculo son fórmulas de Excel (INTERSECCION.EJE, PENDIENTE, COEFICIENTE.R2, ERROR.TIPICO.XY…).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16" customWidth="1" min="4" max="4"/>
    <col width="6" customWidth="1" min="5" max="5"/>
    <col width="10" customWidth="1" min="6" max="6"/>
    <col width="10" customWidth="1" min="7" max="7"/>
    <col width="11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9" customWidth="1" min="14" max="14"/>
    <col width="11" customWidth="1" min="15" max="15"/>
    <col width="90" customWidth="1" min="16" max="16"/>
  </cols>
  <sheetData>
    <row r="1">
      <c r="A1" s="2" t="inlineStr">
        <is>
          <t>Código</t>
        </is>
      </c>
      <c r="B1" s="2" t="inlineStr">
        <is>
          <t>Nombre</t>
        </is>
      </c>
      <c r="C1" s="2" t="inlineStr">
        <is>
          <t>Municipio</t>
        </is>
      </c>
      <c r="D1" s="2" t="inlineStr">
        <is>
          <t>Departamento</t>
        </is>
      </c>
      <c r="E1" s="2" t="inlineStr">
        <is>
          <t>Cat.</t>
        </is>
      </c>
      <c r="F1" s="2" t="inlineStr">
        <is>
          <t>Z catálogo (m)</t>
        </is>
      </c>
      <c r="G1" s="2" t="inlineStr">
        <is>
          <t>Z DEM (m)</t>
        </is>
      </c>
      <c r="H1" s="2" t="inlineStr">
        <is>
          <t>Z cat − Z DEM (m)</t>
        </is>
      </c>
      <c r="I1" s="2" t="inlineStr">
        <is>
          <t>Meses Tmed</t>
        </is>
      </c>
      <c r="J1" s="2" t="inlineStr">
        <is>
          <t>Meses Tmax</t>
        </is>
      </c>
      <c r="K1" s="2" t="inlineStr">
        <is>
          <t>Meses Tmin</t>
        </is>
      </c>
      <c r="L1" s="2" t="inlineStr">
        <is>
          <t>Tmed (°C)</t>
        </is>
      </c>
      <c r="M1" s="2" t="inlineStr">
        <is>
          <t>Tmax (°C)</t>
        </is>
      </c>
      <c r="N1" s="2" t="inlineStr">
        <is>
          <t>Tmin (°C)</t>
        </is>
      </c>
      <c r="O1" s="2" t="inlineStr">
        <is>
          <t>Seleccionada</t>
        </is>
      </c>
      <c r="P1" s="2" t="inlineStr">
        <is>
          <t>Motivo de exclusión</t>
        </is>
      </c>
    </row>
    <row r="2">
      <c r="A2" s="3" t="n">
        <v>26235030</v>
      </c>
      <c r="B2" s="3" t="inlineStr">
        <is>
          <t>Matanzas</t>
        </is>
      </c>
      <c r="C2" s="3" t="inlineStr">
        <is>
          <t>Toledo</t>
        </is>
      </c>
      <c r="D2" s="3" t="inlineStr">
        <is>
          <t>Antioquia</t>
        </is>
      </c>
      <c r="E2" s="3" t="inlineStr">
        <is>
          <t>CO</t>
        </is>
      </c>
      <c r="F2" s="3" t="n">
        <v>500</v>
      </c>
      <c r="G2" s="3" t="n">
        <v>523</v>
      </c>
      <c r="H2" s="3" t="n">
        <v>-23</v>
      </c>
      <c r="I2" s="3" t="n">
        <v>0</v>
      </c>
      <c r="J2" s="3" t="n">
        <v>12</v>
      </c>
      <c r="K2" s="3" t="n">
        <v>0</v>
      </c>
      <c r="L2" s="3" t="n"/>
      <c r="M2" s="3" t="n">
        <v>31.95113636363637</v>
      </c>
      <c r="N2" s="3" t="n"/>
      <c r="O2" s="3" t="inlineStr">
        <is>
          <t>No</t>
        </is>
      </c>
      <c r="P2" s="3" t="inlineStr">
        <is>
          <t>Serie incompleta (&lt; 12 meses) en Tmin, Tmed</t>
        </is>
      </c>
    </row>
    <row r="3">
      <c r="A3" s="4" t="n">
        <v>26175040</v>
      </c>
      <c r="B3" s="4" t="inlineStr">
        <is>
          <t>Tunez Hda</t>
        </is>
      </c>
      <c r="C3" s="4" t="inlineStr">
        <is>
          <t>Fredonia</t>
        </is>
      </c>
      <c r="D3" s="4" t="inlineStr">
        <is>
          <t>Antioquia</t>
        </is>
      </c>
      <c r="E3" s="4" t="inlineStr">
        <is>
          <t>CO</t>
        </is>
      </c>
      <c r="F3" s="4" t="n">
        <v>530</v>
      </c>
      <c r="G3" s="4" t="n">
        <v>583</v>
      </c>
      <c r="H3" s="4" t="n">
        <v>-53</v>
      </c>
      <c r="I3" s="4" t="n">
        <v>12</v>
      </c>
      <c r="J3" s="4" t="n">
        <v>12</v>
      </c>
      <c r="K3" s="4" t="n">
        <v>12</v>
      </c>
      <c r="L3" s="4" t="n">
        <v>25.96646148989899</v>
      </c>
      <c r="M3" s="4" t="n">
        <v>32.86049873737373</v>
      </c>
      <c r="N3" s="4" t="n">
        <v>19.52587834870443</v>
      </c>
      <c r="O3" s="4" t="inlineStr">
        <is>
          <t>Sí</t>
        </is>
      </c>
      <c r="P3" s="4" t="inlineStr"/>
    </row>
    <row r="4">
      <c r="A4" s="4" t="n">
        <v>26225030</v>
      </c>
      <c r="B4" s="4" t="inlineStr">
        <is>
          <t>Cotove Hda</t>
        </is>
      </c>
      <c r="C4" s="4" t="inlineStr">
        <is>
          <t>Santafe de Antioquia</t>
        </is>
      </c>
      <c r="D4" s="4" t="inlineStr">
        <is>
          <t>Antioquia</t>
        </is>
      </c>
      <c r="E4" s="4" t="inlineStr">
        <is>
          <t>AM</t>
        </is>
      </c>
      <c r="F4" s="4" t="n">
        <v>530</v>
      </c>
      <c r="G4" s="4" t="n">
        <v>512</v>
      </c>
      <c r="H4" s="4" t="n">
        <v>18</v>
      </c>
      <c r="I4" s="4" t="n">
        <v>12</v>
      </c>
      <c r="J4" s="4" t="n">
        <v>12</v>
      </c>
      <c r="K4" s="4" t="n">
        <v>12</v>
      </c>
      <c r="L4" s="4" t="n">
        <v>27.03819444444445</v>
      </c>
      <c r="M4" s="4" t="n">
        <v>34.53776366145932</v>
      </c>
      <c r="N4" s="4" t="n">
        <v>20.44659652076319</v>
      </c>
      <c r="O4" s="4" t="inlineStr">
        <is>
          <t>Sí</t>
        </is>
      </c>
      <c r="P4" s="4" t="inlineStr"/>
    </row>
    <row r="5">
      <c r="A5" s="4" t="n">
        <v>26115040</v>
      </c>
      <c r="B5" s="4" t="inlineStr">
        <is>
          <t>Cent Admo La Union</t>
        </is>
      </c>
      <c r="C5" s="4" t="inlineStr">
        <is>
          <t>La Union</t>
        </is>
      </c>
      <c r="D5" s="4" t="inlineStr">
        <is>
          <t>Valle del Cauca</t>
        </is>
      </c>
      <c r="E5" s="4" t="inlineStr">
        <is>
          <t>CP</t>
        </is>
      </c>
      <c r="F5" s="4" t="n">
        <v>920</v>
      </c>
      <c r="G5" s="4" t="n">
        <v>908</v>
      </c>
      <c r="H5" s="4" t="n">
        <v>12</v>
      </c>
      <c r="I5" s="4" t="n">
        <v>12</v>
      </c>
      <c r="J5" s="4" t="n">
        <v>12</v>
      </c>
      <c r="K5" s="4" t="n">
        <v>12</v>
      </c>
      <c r="L5" s="4" t="n">
        <v>24.30416666666666</v>
      </c>
      <c r="M5" s="4" t="n">
        <v>30.62881944444445</v>
      </c>
      <c r="N5" s="4" t="n">
        <v>18.77305555555555</v>
      </c>
      <c r="O5" s="4" t="inlineStr">
        <is>
          <t>Sí</t>
        </is>
      </c>
      <c r="P5" s="4" t="inlineStr"/>
    </row>
    <row r="6">
      <c r="A6" s="4" t="n">
        <v>26105110</v>
      </c>
      <c r="B6" s="4" t="inlineStr">
        <is>
          <t>Ing Riopaila</t>
        </is>
      </c>
      <c r="C6" s="4" t="inlineStr">
        <is>
          <t>Zarzal</t>
        </is>
      </c>
      <c r="D6" s="4" t="inlineStr">
        <is>
          <t>Valle del Cauca</t>
        </is>
      </c>
      <c r="E6" s="4" t="inlineStr">
        <is>
          <t>CO</t>
        </is>
      </c>
      <c r="F6" s="4" t="n">
        <v>941</v>
      </c>
      <c r="G6" s="4" t="n">
        <v>929</v>
      </c>
      <c r="H6" s="4" t="n">
        <v>12</v>
      </c>
      <c r="I6" s="4" t="n">
        <v>12</v>
      </c>
      <c r="J6" s="4" t="n">
        <v>12</v>
      </c>
      <c r="K6" s="4" t="n">
        <v>12</v>
      </c>
      <c r="L6" s="4" t="n">
        <v>24.31726866883117</v>
      </c>
      <c r="M6" s="4" t="n">
        <v>31.08146464646464</v>
      </c>
      <c r="N6" s="4" t="n">
        <v>18.32605218855219</v>
      </c>
      <c r="O6" s="4" t="inlineStr">
        <is>
          <t>Sí</t>
        </is>
      </c>
      <c r="P6" s="4" t="inlineStr"/>
    </row>
    <row r="7">
      <c r="A7" s="4" t="n">
        <v>26085120</v>
      </c>
      <c r="B7" s="4" t="inlineStr">
        <is>
          <t>Base Aerea MFS</t>
        </is>
      </c>
      <c r="C7" s="4" t="inlineStr">
        <is>
          <t>Cali</t>
        </is>
      </c>
      <c r="D7" s="4" t="inlineStr">
        <is>
          <t>Valle del Cauca</t>
        </is>
      </c>
      <c r="E7" s="4" t="inlineStr">
        <is>
          <t>SS</t>
        </is>
      </c>
      <c r="F7" s="4" t="n">
        <v>954</v>
      </c>
      <c r="G7" s="4" t="n">
        <v>960</v>
      </c>
      <c r="H7" s="4" t="n">
        <v>-6</v>
      </c>
      <c r="I7" s="4" t="n">
        <v>12</v>
      </c>
      <c r="J7" s="4" t="n">
        <v>12</v>
      </c>
      <c r="K7" s="4" t="n">
        <v>12</v>
      </c>
      <c r="L7" s="4" t="n">
        <v>25.19436577311577</v>
      </c>
      <c r="M7" s="4" t="n">
        <v>29.95552447552448</v>
      </c>
      <c r="N7" s="4" t="n">
        <v>19.6529452690167</v>
      </c>
      <c r="O7" s="4" t="inlineStr">
        <is>
          <t>Sí</t>
        </is>
      </c>
      <c r="P7" s="4" t="inlineStr"/>
    </row>
    <row r="8">
      <c r="A8" s="4" t="n">
        <v>26105160</v>
      </c>
      <c r="B8" s="4" t="inlineStr">
        <is>
          <t>Apto Farfan</t>
        </is>
      </c>
      <c r="C8" s="4" t="inlineStr">
        <is>
          <t>Tulua</t>
        </is>
      </c>
      <c r="D8" s="4" t="inlineStr">
        <is>
          <t>Valle del Cauca</t>
        </is>
      </c>
      <c r="E8" s="4" t="inlineStr">
        <is>
          <t>SP</t>
        </is>
      </c>
      <c r="F8" s="4" t="n">
        <v>955</v>
      </c>
      <c r="G8" s="4" t="n">
        <v>957</v>
      </c>
      <c r="H8" s="4" t="n">
        <v>-2</v>
      </c>
      <c r="I8" s="4" t="n">
        <v>12</v>
      </c>
      <c r="J8" s="4" t="n">
        <v>12</v>
      </c>
      <c r="K8" s="4" t="n">
        <v>12</v>
      </c>
      <c r="L8" s="4" t="n">
        <v>23.89102777777778</v>
      </c>
      <c r="M8" s="4" t="n">
        <v>29.91925925925927</v>
      </c>
      <c r="N8" s="4" t="n">
        <v>18.47114718614718</v>
      </c>
      <c r="O8" s="4" t="inlineStr">
        <is>
          <t>Sí</t>
        </is>
      </c>
      <c r="P8" s="4" t="inlineStr"/>
    </row>
    <row r="9">
      <c r="A9" s="4" t="n">
        <v>26075040</v>
      </c>
      <c r="B9" s="4" t="inlineStr">
        <is>
          <t>Apto A Bonilla</t>
        </is>
      </c>
      <c r="C9" s="4" t="inlineStr">
        <is>
          <t>Palmira</t>
        </is>
      </c>
      <c r="D9" s="4" t="inlineStr">
        <is>
          <t>Valle del Cauca</t>
        </is>
      </c>
      <c r="E9" s="4" t="inlineStr">
        <is>
          <t>SP</t>
        </is>
      </c>
      <c r="F9" s="4" t="n">
        <v>961</v>
      </c>
      <c r="G9" s="4" t="n">
        <v>962</v>
      </c>
      <c r="H9" s="4" t="n">
        <v>-1</v>
      </c>
      <c r="I9" s="4" t="n">
        <v>12</v>
      </c>
      <c r="J9" s="4" t="n">
        <v>12</v>
      </c>
      <c r="K9" s="4" t="n">
        <v>12</v>
      </c>
      <c r="L9" s="4" t="n">
        <v>23.92472222222221</v>
      </c>
      <c r="M9" s="4" t="n">
        <v>29.73944444444444</v>
      </c>
      <c r="N9" s="4" t="n">
        <v>18.88361111111111</v>
      </c>
      <c r="O9" s="4" t="inlineStr">
        <is>
          <t>Sí</t>
        </is>
      </c>
      <c r="P9" s="4" t="inlineStr"/>
    </row>
    <row r="10">
      <c r="A10" s="4" t="n">
        <v>26135100</v>
      </c>
      <c r="B10" s="4" t="inlineStr">
        <is>
          <t>Bohemia La</t>
        </is>
      </c>
      <c r="C10" s="4" t="inlineStr">
        <is>
          <t>Pereira</t>
        </is>
      </c>
      <c r="D10" s="4" t="inlineStr">
        <is>
          <t>Risaralda</t>
        </is>
      </c>
      <c r="E10" s="4" t="inlineStr">
        <is>
          <t>CO</t>
        </is>
      </c>
      <c r="F10" s="4" t="n">
        <v>970</v>
      </c>
      <c r="G10" s="4" t="n">
        <v>970</v>
      </c>
      <c r="H10" s="4" t="n">
        <v>0</v>
      </c>
      <c r="I10" s="4" t="n">
        <v>12</v>
      </c>
      <c r="J10" s="4" t="n">
        <v>12</v>
      </c>
      <c r="K10" s="4" t="n">
        <v>12</v>
      </c>
      <c r="L10" s="4" t="n">
        <v>23.92247474747475</v>
      </c>
      <c r="M10" s="4" t="n">
        <v>30.08357575757575</v>
      </c>
      <c r="N10" s="4" t="n">
        <v>19.09416666666666</v>
      </c>
      <c r="O10" s="4" t="inlineStr">
        <is>
          <t>Sí</t>
        </is>
      </c>
      <c r="P10" s="4" t="inlineStr"/>
    </row>
    <row r="11">
      <c r="A11" s="4" t="n">
        <v>26095230</v>
      </c>
      <c r="B11" s="4" t="inlineStr">
        <is>
          <t>Vinculo El</t>
        </is>
      </c>
      <c r="C11" s="4" t="inlineStr">
        <is>
          <t>Guadalajara de Buga</t>
        </is>
      </c>
      <c r="D11" s="4" t="inlineStr">
        <is>
          <t>Valle del Cauca</t>
        </is>
      </c>
      <c r="E11" s="4" t="inlineStr">
        <is>
          <t>AM</t>
        </is>
      </c>
      <c r="F11" s="4" t="n">
        <v>979</v>
      </c>
      <c r="G11" s="4" t="n">
        <v>983</v>
      </c>
      <c r="H11" s="4" t="n">
        <v>-4</v>
      </c>
      <c r="I11" s="4" t="n">
        <v>12</v>
      </c>
      <c r="J11" s="4" t="n">
        <v>12</v>
      </c>
      <c r="K11" s="4" t="n">
        <v>12</v>
      </c>
      <c r="L11" s="4" t="n">
        <v>23.59113355780023</v>
      </c>
      <c r="M11" s="4" t="n">
        <v>29.86401257472686</v>
      </c>
      <c r="N11" s="4" t="n">
        <v>18.80381944444444</v>
      </c>
      <c r="O11" s="4" t="inlineStr">
        <is>
          <t>Sí</t>
        </is>
      </c>
      <c r="P11" s="4" t="inlineStr"/>
    </row>
    <row r="12">
      <c r="A12" s="4" t="n">
        <v>26055070</v>
      </c>
      <c r="B12" s="4" t="inlineStr">
        <is>
          <t>Univ del Valle</t>
        </is>
      </c>
      <c r="C12" s="4" t="inlineStr">
        <is>
          <t>Cali</t>
        </is>
      </c>
      <c r="D12" s="4" t="inlineStr">
        <is>
          <t>Valle del Cauca</t>
        </is>
      </c>
      <c r="E12" s="4" t="inlineStr">
        <is>
          <t>CP</t>
        </is>
      </c>
      <c r="F12" s="4" t="n">
        <v>985</v>
      </c>
      <c r="G12" s="4" t="n">
        <v>976</v>
      </c>
      <c r="H12" s="4" t="n">
        <v>9</v>
      </c>
      <c r="I12" s="4" t="n">
        <v>12</v>
      </c>
      <c r="J12" s="4" t="n">
        <v>12</v>
      </c>
      <c r="K12" s="4" t="n">
        <v>12</v>
      </c>
      <c r="L12" s="4" t="n">
        <v>24.47588383838383</v>
      </c>
      <c r="M12" s="4" t="n">
        <v>29.88555555555556</v>
      </c>
      <c r="N12" s="4" t="n">
        <v>19.23611111111111</v>
      </c>
      <c r="O12" s="4" t="inlineStr">
        <is>
          <t>Sí</t>
        </is>
      </c>
      <c r="P12" s="4" t="inlineStr"/>
    </row>
    <row r="13">
      <c r="A13" s="4" t="n">
        <v>26065010</v>
      </c>
      <c r="B13" s="4" t="inlineStr">
        <is>
          <t>Ing Cauca</t>
        </is>
      </c>
      <c r="C13" s="4" t="inlineStr">
        <is>
          <t>Miranda</t>
        </is>
      </c>
      <c r="D13" s="4" t="inlineStr">
        <is>
          <t>Cauca</t>
        </is>
      </c>
      <c r="E13" s="4" t="inlineStr">
        <is>
          <t>CO</t>
        </is>
      </c>
      <c r="F13" s="4" t="n">
        <v>1000</v>
      </c>
      <c r="G13" s="4" t="n">
        <v>986</v>
      </c>
      <c r="H13" s="4" t="n">
        <v>14</v>
      </c>
      <c r="I13" s="4" t="n">
        <v>12</v>
      </c>
      <c r="J13" s="4" t="n">
        <v>12</v>
      </c>
      <c r="K13" s="4" t="n">
        <v>12</v>
      </c>
      <c r="L13" s="4" t="n">
        <v>23.46965404040403</v>
      </c>
      <c r="M13" s="4" t="n">
        <v>29.77207341269841</v>
      </c>
      <c r="N13" s="4" t="n">
        <v>18.55328907203907</v>
      </c>
      <c r="O13" s="4" t="inlineStr">
        <is>
          <t>Sí</t>
        </is>
      </c>
      <c r="P13" s="4" t="inlineStr"/>
    </row>
    <row r="14">
      <c r="A14" s="4" t="n">
        <v>26045010</v>
      </c>
      <c r="B14" s="4" t="inlineStr">
        <is>
          <t>Ing Bengala</t>
        </is>
      </c>
      <c r="C14" s="4" t="inlineStr">
        <is>
          <t>Puerto Tejada</t>
        </is>
      </c>
      <c r="D14" s="4" t="inlineStr">
        <is>
          <t>Cauca</t>
        </is>
      </c>
      <c r="E14" s="4" t="inlineStr">
        <is>
          <t>CO</t>
        </is>
      </c>
      <c r="F14" s="4" t="n">
        <v>1000</v>
      </c>
      <c r="G14" s="4" t="n">
        <v>965</v>
      </c>
      <c r="H14" s="4" t="n">
        <v>35</v>
      </c>
      <c r="I14" s="4" t="n">
        <v>12</v>
      </c>
      <c r="J14" s="4" t="n">
        <v>12</v>
      </c>
      <c r="K14" s="4" t="n">
        <v>12</v>
      </c>
      <c r="L14" s="4" t="n">
        <v>24.03422619047618</v>
      </c>
      <c r="M14" s="4" t="n">
        <v>29.89183135704875</v>
      </c>
      <c r="N14" s="4" t="n">
        <v>17.92438811188811</v>
      </c>
      <c r="O14" s="4" t="inlineStr">
        <is>
          <t>Sí</t>
        </is>
      </c>
      <c r="P14" s="4" t="inlineStr"/>
    </row>
    <row r="15">
      <c r="A15" s="4" t="n">
        <v>26105150</v>
      </c>
      <c r="B15" s="4" t="inlineStr">
        <is>
          <t>San Marcos</t>
        </is>
      </c>
      <c r="C15" s="4" t="inlineStr">
        <is>
          <t>Bugalagrande</t>
        </is>
      </c>
      <c r="D15" s="4" t="inlineStr">
        <is>
          <t>Valle del Cauca</t>
        </is>
      </c>
      <c r="E15" s="4" t="inlineStr">
        <is>
          <t>CO</t>
        </is>
      </c>
      <c r="F15" s="4" t="n">
        <v>1002</v>
      </c>
      <c r="G15" s="4" t="n">
        <v>988</v>
      </c>
      <c r="H15" s="4" t="n">
        <v>14</v>
      </c>
      <c r="I15" s="4" t="n">
        <v>12</v>
      </c>
      <c r="J15" s="4" t="n">
        <v>12</v>
      </c>
      <c r="K15" s="4" t="n">
        <v>12</v>
      </c>
      <c r="L15" s="4" t="n">
        <v>23.28805555555556</v>
      </c>
      <c r="M15" s="4" t="n">
        <v>29.36364801864802</v>
      </c>
      <c r="N15" s="4" t="n">
        <v>17.50416666666667</v>
      </c>
      <c r="O15" s="4" t="inlineStr">
        <is>
          <t>Sí</t>
        </is>
      </c>
      <c r="P15" s="4" t="inlineStr"/>
    </row>
    <row r="16">
      <c r="A16" s="4" t="n">
        <v>26075080</v>
      </c>
      <c r="B16" s="4" t="inlineStr">
        <is>
          <t>Cenicana</t>
        </is>
      </c>
      <c r="C16" s="4" t="inlineStr">
        <is>
          <t>Florida</t>
        </is>
      </c>
      <c r="D16" s="4" t="inlineStr">
        <is>
          <t>Valle del Cauca</t>
        </is>
      </c>
      <c r="E16" s="4" t="inlineStr">
        <is>
          <t>AM</t>
        </is>
      </c>
      <c r="F16" s="4" t="n">
        <v>1013</v>
      </c>
      <c r="G16" s="4" t="n">
        <v>1000</v>
      </c>
      <c r="H16" s="4" t="n">
        <v>13</v>
      </c>
      <c r="I16" s="4" t="n">
        <v>12</v>
      </c>
      <c r="J16" s="4" t="n">
        <v>12</v>
      </c>
      <c r="K16" s="4" t="n">
        <v>12</v>
      </c>
      <c r="L16" s="4" t="n">
        <v>23.56318181818182</v>
      </c>
      <c r="M16" s="4" t="n">
        <v>29.48442234848484</v>
      </c>
      <c r="N16" s="4" t="n">
        <v>18.6919696969697</v>
      </c>
      <c r="O16" s="4" t="inlineStr">
        <is>
          <t>Sí</t>
        </is>
      </c>
      <c r="P16" s="4" t="inlineStr"/>
    </row>
    <row r="17">
      <c r="A17" s="4" t="n">
        <v>26025030</v>
      </c>
      <c r="B17" s="4" t="inlineStr">
        <is>
          <t>Japio</t>
        </is>
      </c>
      <c r="C17" s="4" t="inlineStr">
        <is>
          <t>Santander de Quilichao</t>
        </is>
      </c>
      <c r="D17" s="4" t="inlineStr">
        <is>
          <t>Cauca</t>
        </is>
      </c>
      <c r="E17" s="4" t="inlineStr">
        <is>
          <t>CO</t>
        </is>
      </c>
      <c r="F17" s="4" t="n">
        <v>1015</v>
      </c>
      <c r="G17" s="4" t="n">
        <v>1009</v>
      </c>
      <c r="H17" s="4" t="n">
        <v>6</v>
      </c>
      <c r="I17" s="4" t="n">
        <v>12</v>
      </c>
      <c r="J17" s="4" t="n">
        <v>12</v>
      </c>
      <c r="K17" s="4" t="n">
        <v>12</v>
      </c>
      <c r="L17" s="4" t="n">
        <v>23.55079365079366</v>
      </c>
      <c r="M17" s="4" t="n">
        <v>29.02901234567901</v>
      </c>
      <c r="N17" s="4" t="n">
        <v>18.34958333333333</v>
      </c>
      <c r="O17" s="4" t="inlineStr">
        <is>
          <t>Sí</t>
        </is>
      </c>
      <c r="P17" s="4" t="inlineStr"/>
    </row>
    <row r="18">
      <c r="A18" s="3" t="n">
        <v>26145050</v>
      </c>
      <c r="B18" s="3" t="inlineStr">
        <is>
          <t>Samaria La</t>
        </is>
      </c>
      <c r="C18" s="3" t="inlineStr">
        <is>
          <t>Viterbo</t>
        </is>
      </c>
      <c r="D18" s="3" t="inlineStr">
        <is>
          <t>Caldas</t>
        </is>
      </c>
      <c r="E18" s="3" t="inlineStr">
        <is>
          <t>CO</t>
        </is>
      </c>
      <c r="F18" s="3" t="n">
        <v>1020</v>
      </c>
      <c r="G18" s="3" t="n">
        <v>978</v>
      </c>
      <c r="H18" s="3" t="n">
        <v>42</v>
      </c>
      <c r="I18" s="3" t="n">
        <v>12</v>
      </c>
      <c r="J18" s="3" t="n">
        <v>12</v>
      </c>
      <c r="K18" s="3" t="n">
        <v>0</v>
      </c>
      <c r="L18" s="3" t="n">
        <v>24.4817775974026</v>
      </c>
      <c r="M18" s="3" t="n">
        <v>29.66212121212121</v>
      </c>
      <c r="N18" s="3" t="n"/>
      <c r="O18" s="3" t="inlineStr">
        <is>
          <t>No</t>
        </is>
      </c>
      <c r="P18" s="3" t="inlineStr">
        <is>
          <t>Serie incompleta (&lt; 12 meses) en Tmin</t>
        </is>
      </c>
    </row>
    <row r="19">
      <c r="A19" s="4" t="n">
        <v>26105230</v>
      </c>
      <c r="B19" s="4" t="inlineStr">
        <is>
          <t>Mateguadua</t>
        </is>
      </c>
      <c r="C19" s="4" t="inlineStr">
        <is>
          <t>Tulua</t>
        </is>
      </c>
      <c r="D19" s="4" t="inlineStr">
        <is>
          <t>Valle del Cauca</t>
        </is>
      </c>
      <c r="E19" s="4" t="inlineStr">
        <is>
          <t>CO</t>
        </is>
      </c>
      <c r="F19" s="4" t="n">
        <v>1025</v>
      </c>
      <c r="G19" s="4" t="n">
        <v>1111</v>
      </c>
      <c r="H19" s="4" t="n">
        <v>-86</v>
      </c>
      <c r="I19" s="4" t="n">
        <v>12</v>
      </c>
      <c r="J19" s="4" t="n">
        <v>12</v>
      </c>
      <c r="K19" s="4" t="n">
        <v>12</v>
      </c>
      <c r="L19" s="4" t="n">
        <v>22.59768518518519</v>
      </c>
      <c r="M19" s="4" t="n">
        <v>29.49711538461538</v>
      </c>
      <c r="N19" s="4" t="n">
        <v>17.4320987654321</v>
      </c>
      <c r="O19" s="4" t="inlineStr">
        <is>
          <t>Sí</t>
        </is>
      </c>
      <c r="P19" s="4" t="inlineStr"/>
    </row>
    <row r="20">
      <c r="A20" s="4" t="n">
        <v>26075010</v>
      </c>
      <c r="B20" s="4" t="inlineStr">
        <is>
          <t>Palmira Ica</t>
        </is>
      </c>
      <c r="C20" s="4" t="inlineStr">
        <is>
          <t>Palmira</t>
        </is>
      </c>
      <c r="D20" s="4" t="inlineStr">
        <is>
          <t>Valle del Cauca</t>
        </is>
      </c>
      <c r="E20" s="4" t="inlineStr">
        <is>
          <t>AM</t>
        </is>
      </c>
      <c r="F20" s="4" t="n">
        <v>1050</v>
      </c>
      <c r="G20" s="4" t="n">
        <v>988</v>
      </c>
      <c r="H20" s="4" t="n">
        <v>62</v>
      </c>
      <c r="I20" s="4" t="n">
        <v>12</v>
      </c>
      <c r="J20" s="4" t="n">
        <v>12</v>
      </c>
      <c r="K20" s="4" t="n">
        <v>12</v>
      </c>
      <c r="L20" s="4" t="n">
        <v>23.61198347107438</v>
      </c>
      <c r="M20" s="4" t="n">
        <v>29.41818181818181</v>
      </c>
      <c r="N20" s="4" t="n">
        <v>19.13787878787879</v>
      </c>
      <c r="O20" s="4" t="inlineStr">
        <is>
          <t>Sí</t>
        </is>
      </c>
      <c r="P20" s="4" t="inlineStr"/>
    </row>
    <row r="21">
      <c r="A21" s="3" t="n">
        <v>26075050</v>
      </c>
      <c r="B21" s="3" t="inlineStr">
        <is>
          <t>Ing Manuelita Porv</t>
        </is>
      </c>
      <c r="C21" s="3" t="inlineStr">
        <is>
          <t>Palmira</t>
        </is>
      </c>
      <c r="D21" s="3" t="inlineStr">
        <is>
          <t>Valle del Cauca</t>
        </is>
      </c>
      <c r="E21" s="3" t="inlineStr">
        <is>
          <t>CO</t>
        </is>
      </c>
      <c r="F21" s="3" t="n">
        <v>1058</v>
      </c>
      <c r="G21" s="3" t="n">
        <v>1033</v>
      </c>
      <c r="H21" s="3" t="n">
        <v>25</v>
      </c>
      <c r="I21" s="3" t="n">
        <v>12</v>
      </c>
      <c r="J21" s="3" t="n">
        <v>0</v>
      </c>
      <c r="K21" s="3" t="n">
        <v>12</v>
      </c>
      <c r="L21" s="3" t="n">
        <v>23.05148148148148</v>
      </c>
      <c r="M21" s="3" t="n"/>
      <c r="N21" s="3" t="n">
        <v>18.84175084175084</v>
      </c>
      <c r="O21" s="3" t="inlineStr">
        <is>
          <t>No</t>
        </is>
      </c>
      <c r="P21" s="3" t="inlineStr">
        <is>
          <t>Serie incompleta (&lt; 12 meses) en Tmax</t>
        </is>
      </c>
    </row>
    <row r="22">
      <c r="A22" s="4" t="n">
        <v>26065020</v>
      </c>
      <c r="B22" s="4" t="inlineStr">
        <is>
          <t>Miranda</t>
        </is>
      </c>
      <c r="C22" s="4" t="inlineStr">
        <is>
          <t>Miranda</t>
        </is>
      </c>
      <c r="D22" s="4" t="inlineStr">
        <is>
          <t>Cauca</t>
        </is>
      </c>
      <c r="E22" s="4" t="inlineStr">
        <is>
          <t>CO</t>
        </is>
      </c>
      <c r="F22" s="4" t="n">
        <v>1128</v>
      </c>
      <c r="G22" s="4" t="n">
        <v>1103</v>
      </c>
      <c r="H22" s="4" t="n">
        <v>25</v>
      </c>
      <c r="I22" s="4" t="n">
        <v>12</v>
      </c>
      <c r="J22" s="4" t="n">
        <v>12</v>
      </c>
      <c r="K22" s="4" t="n">
        <v>12</v>
      </c>
      <c r="L22" s="4" t="n">
        <v>23.48159090909091</v>
      </c>
      <c r="M22" s="4" t="n">
        <v>29.17622811970638</v>
      </c>
      <c r="N22" s="4" t="n">
        <v>18.13833333333333</v>
      </c>
      <c r="O22" s="4" t="inlineStr">
        <is>
          <t>Sí</t>
        </is>
      </c>
      <c r="P22" s="4" t="inlineStr"/>
    </row>
    <row r="23">
      <c r="A23" s="4" t="n">
        <v>26175030</v>
      </c>
      <c r="B23" s="4" t="inlineStr">
        <is>
          <t>Nacional Gja La</t>
        </is>
      </c>
      <c r="C23" s="4" t="inlineStr">
        <is>
          <t>Tamesis</t>
        </is>
      </c>
      <c r="D23" s="4" t="inlineStr">
        <is>
          <t>Antioquia</t>
        </is>
      </c>
      <c r="E23" s="4" t="inlineStr">
        <is>
          <t>CP</t>
        </is>
      </c>
      <c r="F23" s="4" t="n">
        <v>1151</v>
      </c>
      <c r="G23" s="4" t="n">
        <v>1141</v>
      </c>
      <c r="H23" s="4" t="n">
        <v>10</v>
      </c>
      <c r="I23" s="4" t="n">
        <v>12</v>
      </c>
      <c r="J23" s="4" t="n">
        <v>12</v>
      </c>
      <c r="K23" s="4" t="n">
        <v>12</v>
      </c>
      <c r="L23" s="4" t="n">
        <v>22.61379310344828</v>
      </c>
      <c r="M23" s="4" t="n">
        <v>27.60140692640692</v>
      </c>
      <c r="N23" s="4" t="n">
        <v>18.4908303030303</v>
      </c>
      <c r="O23" s="4" t="inlineStr">
        <is>
          <t>Sí</t>
        </is>
      </c>
      <c r="P23" s="4" t="inlineStr"/>
    </row>
    <row r="24">
      <c r="A24" s="4" t="n">
        <v>26195020</v>
      </c>
      <c r="B24" s="4" t="inlineStr">
        <is>
          <t>Ita Andes</t>
        </is>
      </c>
      <c r="C24" s="4" t="inlineStr">
        <is>
          <t>Andes</t>
        </is>
      </c>
      <c r="D24" s="4" t="inlineStr">
        <is>
          <t>Antioquia</t>
        </is>
      </c>
      <c r="E24" s="4" t="inlineStr">
        <is>
          <t>CO</t>
        </is>
      </c>
      <c r="F24" s="4" t="n">
        <v>1180</v>
      </c>
      <c r="G24" s="4" t="n">
        <v>1212</v>
      </c>
      <c r="H24" s="4" t="n">
        <v>-32</v>
      </c>
      <c r="I24" s="4" t="n">
        <v>12</v>
      </c>
      <c r="J24" s="4" t="n">
        <v>12</v>
      </c>
      <c r="K24" s="4" t="n">
        <v>12</v>
      </c>
      <c r="L24" s="4" t="n">
        <v>21.99476094276095</v>
      </c>
      <c r="M24" s="4" t="n">
        <v>28.67754997060552</v>
      </c>
      <c r="N24" s="4" t="n">
        <v>16.71992277270055</v>
      </c>
      <c r="O24" s="4" t="inlineStr">
        <is>
          <t>Sí</t>
        </is>
      </c>
      <c r="P24" s="4" t="inlineStr"/>
    </row>
    <row r="25">
      <c r="A25" s="4" t="n">
        <v>26125060</v>
      </c>
      <c r="B25" s="4" t="inlineStr">
        <is>
          <t>Apto El Eden</t>
        </is>
      </c>
      <c r="C25" s="4" t="inlineStr">
        <is>
          <t>Armenia</t>
        </is>
      </c>
      <c r="D25" s="4" t="inlineStr">
        <is>
          <t>Quindio</t>
        </is>
      </c>
      <c r="E25" s="4" t="inlineStr">
        <is>
          <t>SP</t>
        </is>
      </c>
      <c r="F25" s="4" t="n">
        <v>1229</v>
      </c>
      <c r="G25" s="4" t="n">
        <v>1214</v>
      </c>
      <c r="H25" s="4" t="n">
        <v>15</v>
      </c>
      <c r="I25" s="4" t="n">
        <v>12</v>
      </c>
      <c r="J25" s="4" t="n">
        <v>12</v>
      </c>
      <c r="K25" s="4" t="n">
        <v>12</v>
      </c>
      <c r="L25" s="4" t="n">
        <v>22.06777777777778</v>
      </c>
      <c r="M25" s="4" t="n">
        <v>27.58111111111112</v>
      </c>
      <c r="N25" s="4" t="n">
        <v>16.74611111111111</v>
      </c>
      <c r="O25" s="4" t="inlineStr">
        <is>
          <t>Sí</t>
        </is>
      </c>
      <c r="P25" s="4" t="inlineStr"/>
    </row>
    <row r="26">
      <c r="A26" s="3" t="n">
        <v>26095180</v>
      </c>
      <c r="B26" s="3" t="inlineStr">
        <is>
          <t>San Emigdio</t>
        </is>
      </c>
      <c r="C26" s="3" t="inlineStr">
        <is>
          <t>Palmira</t>
        </is>
      </c>
      <c r="D26" s="3" t="inlineStr">
        <is>
          <t>Valle del Cauca</t>
        </is>
      </c>
      <c r="E26" s="3" t="inlineStr">
        <is>
          <t>CO</t>
        </is>
      </c>
      <c r="F26" s="3" t="n">
        <v>1272</v>
      </c>
      <c r="G26" s="3" t="n">
        <v>1287</v>
      </c>
      <c r="H26" s="3" t="n">
        <v>-15</v>
      </c>
      <c r="I26" s="3" t="n">
        <v>0</v>
      </c>
      <c r="J26" s="3" t="n">
        <v>12</v>
      </c>
      <c r="K26" s="3" t="n">
        <v>12</v>
      </c>
      <c r="L26" s="3" t="n"/>
      <c r="M26" s="3" t="n">
        <v>23.22480842911877</v>
      </c>
      <c r="N26" s="3" t="n">
        <v>15.54786255411256</v>
      </c>
      <c r="O26" s="3" t="inlineStr">
        <is>
          <t>No</t>
        </is>
      </c>
      <c r="P26" s="3" t="inlineStr">
        <is>
          <t>Serie incompleta (&lt; 12 meses) en Tmed</t>
        </is>
      </c>
    </row>
    <row r="27">
      <c r="A27" s="4" t="n">
        <v>26175070</v>
      </c>
      <c r="B27" s="4" t="inlineStr">
        <is>
          <t>Rafael Escobar</t>
        </is>
      </c>
      <c r="C27" s="4" t="inlineStr">
        <is>
          <t>Supia</t>
        </is>
      </c>
      <c r="D27" s="4" t="inlineStr">
        <is>
          <t>Caldas</t>
        </is>
      </c>
      <c r="E27" s="4" t="inlineStr">
        <is>
          <t>CO</t>
        </is>
      </c>
      <c r="F27" s="4" t="n">
        <v>1320</v>
      </c>
      <c r="G27" s="4" t="n">
        <v>1282</v>
      </c>
      <c r="H27" s="4" t="n">
        <v>38</v>
      </c>
      <c r="I27" s="4" t="n">
        <v>12</v>
      </c>
      <c r="J27" s="4" t="n">
        <v>12</v>
      </c>
      <c r="K27" s="4" t="n">
        <v>12</v>
      </c>
      <c r="L27" s="4" t="n">
        <v>22.06730769230769</v>
      </c>
      <c r="M27" s="4" t="n">
        <v>27.69551282051282</v>
      </c>
      <c r="N27" s="4" t="n">
        <v>17.39166666666667</v>
      </c>
      <c r="O27" s="4" t="inlineStr">
        <is>
          <t>Sí</t>
        </is>
      </c>
      <c r="P27" s="4" t="inlineStr"/>
    </row>
    <row r="28">
      <c r="A28" s="4" t="n">
        <v>26135040</v>
      </c>
      <c r="B28" s="4" t="inlineStr">
        <is>
          <t>Apto Matecana</t>
        </is>
      </c>
      <c r="C28" s="4" t="inlineStr">
        <is>
          <t>Pereira</t>
        </is>
      </c>
      <c r="D28" s="4" t="inlineStr">
        <is>
          <t>Risaralda</t>
        </is>
      </c>
      <c r="E28" s="4" t="inlineStr">
        <is>
          <t>SP</t>
        </is>
      </c>
      <c r="F28" s="4" t="n">
        <v>1342</v>
      </c>
      <c r="G28" s="4" t="n">
        <v>1348</v>
      </c>
      <c r="H28" s="4" t="n">
        <v>-6</v>
      </c>
      <c r="I28" s="4" t="n">
        <v>12</v>
      </c>
      <c r="J28" s="4" t="n">
        <v>12</v>
      </c>
      <c r="K28" s="4" t="n">
        <v>12</v>
      </c>
      <c r="L28" s="4" t="n">
        <v>21.54083333333334</v>
      </c>
      <c r="M28" s="4" t="n">
        <v>26.33638888888889</v>
      </c>
      <c r="N28" s="4" t="n">
        <v>17.36305555555555</v>
      </c>
      <c r="O28" s="4" t="inlineStr">
        <is>
          <t>Sí</t>
        </is>
      </c>
      <c r="P28" s="4" t="inlineStr"/>
    </row>
    <row r="29">
      <c r="A29" s="4" t="n">
        <v>26125070</v>
      </c>
      <c r="B29" s="4" t="inlineStr">
        <is>
          <t>Bella La</t>
        </is>
      </c>
      <c r="C29" s="4" t="inlineStr">
        <is>
          <t>Calarca</t>
        </is>
      </c>
      <c r="D29" s="4" t="inlineStr">
        <is>
          <t>Quindio</t>
        </is>
      </c>
      <c r="E29" s="4" t="inlineStr">
        <is>
          <t>CO</t>
        </is>
      </c>
      <c r="F29" s="4" t="n">
        <v>1450</v>
      </c>
      <c r="G29" s="4" t="n">
        <v>1470</v>
      </c>
      <c r="H29" s="4" t="n">
        <v>-20</v>
      </c>
      <c r="I29" s="4" t="n">
        <v>12</v>
      </c>
      <c r="J29" s="4" t="n">
        <v>12</v>
      </c>
      <c r="K29" s="4" t="n">
        <v>12</v>
      </c>
      <c r="L29" s="4" t="n">
        <v>20.6020202020202</v>
      </c>
      <c r="M29" s="4" t="n">
        <v>25.4354797979798</v>
      </c>
      <c r="N29" s="4" t="n">
        <v>16.23705808080808</v>
      </c>
      <c r="O29" s="4" t="inlineStr">
        <is>
          <t>Sí</t>
        </is>
      </c>
      <c r="P29" s="4" t="inlineStr"/>
    </row>
    <row r="30">
      <c r="A30" s="4" t="n">
        <v>26085130</v>
      </c>
      <c r="B30" s="4" t="inlineStr">
        <is>
          <t>Buitrera La</t>
        </is>
      </c>
      <c r="C30" s="4" t="inlineStr">
        <is>
          <t>Yumbo</t>
        </is>
      </c>
      <c r="D30" s="4" t="inlineStr">
        <is>
          <t>Valle del Cauca</t>
        </is>
      </c>
      <c r="E30" s="4" t="inlineStr">
        <is>
          <t>CO</t>
        </is>
      </c>
      <c r="F30" s="4" t="n">
        <v>1500</v>
      </c>
      <c r="G30" s="4" t="n">
        <v>2093</v>
      </c>
      <c r="H30" s="4" t="n">
        <v>-593</v>
      </c>
      <c r="I30" s="4" t="n">
        <v>12</v>
      </c>
      <c r="J30" s="4" t="n">
        <v>12</v>
      </c>
      <c r="K30" s="4" t="n">
        <v>12</v>
      </c>
      <c r="L30" s="4" t="n">
        <v>20.6992319023569</v>
      </c>
      <c r="M30" s="4" t="n">
        <v>26.17660697887971</v>
      </c>
      <c r="N30" s="4" t="n">
        <v>16.41593778696051</v>
      </c>
      <c r="O30" s="4" t="inlineStr">
        <is>
          <t>Sí</t>
        </is>
      </c>
      <c r="P30" s="4" t="inlineStr"/>
    </row>
    <row r="31">
      <c r="A31" s="4" t="n">
        <v>26195010</v>
      </c>
      <c r="B31" s="4" t="inlineStr">
        <is>
          <t>Miguel Valencia</t>
        </is>
      </c>
      <c r="C31" s="4" t="inlineStr">
        <is>
          <t>Jardin</t>
        </is>
      </c>
      <c r="D31" s="4" t="inlineStr">
        <is>
          <t>Antioquia</t>
        </is>
      </c>
      <c r="E31" s="4" t="inlineStr">
        <is>
          <t>CO</t>
        </is>
      </c>
      <c r="F31" s="4" t="n">
        <v>1570</v>
      </c>
      <c r="G31" s="4" t="n">
        <v>2314</v>
      </c>
      <c r="H31" s="4" t="n">
        <v>-744</v>
      </c>
      <c r="I31" s="4" t="n">
        <v>12</v>
      </c>
      <c r="J31" s="4" t="n">
        <v>12</v>
      </c>
      <c r="K31" s="4" t="n">
        <v>12</v>
      </c>
      <c r="L31" s="4" t="n">
        <v>19.23525641025641</v>
      </c>
      <c r="M31" s="4" t="n">
        <v>25.38974358974359</v>
      </c>
      <c r="N31" s="4" t="n">
        <v>15.05576923076923</v>
      </c>
      <c r="O31" s="4" t="inlineStr">
        <is>
          <t>Sí</t>
        </is>
      </c>
      <c r="P31" s="4" t="inlineStr"/>
    </row>
    <row r="32">
      <c r="A32" s="4" t="n">
        <v>26205020</v>
      </c>
      <c r="B32" s="4" t="inlineStr">
        <is>
          <t>Rosario El</t>
        </is>
      </c>
      <c r="C32" s="4" t="inlineStr">
        <is>
          <t>Venecia</t>
        </is>
      </c>
      <c r="D32" s="4" t="inlineStr">
        <is>
          <t>Antioquia</t>
        </is>
      </c>
      <c r="E32" s="4" t="inlineStr">
        <is>
          <t>CP</t>
        </is>
      </c>
      <c r="F32" s="4" t="n">
        <v>1600</v>
      </c>
      <c r="G32" s="4" t="n">
        <v>2136</v>
      </c>
      <c r="H32" s="4" t="n">
        <v>-536</v>
      </c>
      <c r="I32" s="4" t="n">
        <v>12</v>
      </c>
      <c r="J32" s="4" t="n">
        <v>12</v>
      </c>
      <c r="K32" s="4" t="n">
        <v>12</v>
      </c>
      <c r="L32" s="4" t="n">
        <v>20.22435897435897</v>
      </c>
      <c r="M32" s="4" t="n">
        <v>24.83846153846153</v>
      </c>
      <c r="N32" s="4" t="n">
        <v>16.03782051282052</v>
      </c>
      <c r="O32" s="4" t="inlineStr">
        <is>
          <t>Sí</t>
        </is>
      </c>
      <c r="P32" s="4" t="inlineStr"/>
    </row>
    <row r="33">
      <c r="A33" s="4" t="n">
        <v>26135060</v>
      </c>
      <c r="B33" s="4" t="inlineStr">
        <is>
          <t>Jazmin El</t>
        </is>
      </c>
      <c r="C33" s="4" t="inlineStr">
        <is>
          <t>Santa Rosa de Cabal</t>
        </is>
      </c>
      <c r="D33" s="4" t="inlineStr">
        <is>
          <t>Risaralda</t>
        </is>
      </c>
      <c r="E33" s="4" t="inlineStr">
        <is>
          <t>CO</t>
        </is>
      </c>
      <c r="F33" s="4" t="n">
        <v>1600</v>
      </c>
      <c r="G33" s="4" t="n">
        <v>1626</v>
      </c>
      <c r="H33" s="4" t="n">
        <v>-26</v>
      </c>
      <c r="I33" s="4" t="n">
        <v>12</v>
      </c>
      <c r="J33" s="4" t="n">
        <v>12</v>
      </c>
      <c r="K33" s="4" t="n">
        <v>12</v>
      </c>
      <c r="L33" s="4" t="n">
        <v>19.56574074074074</v>
      </c>
      <c r="M33" s="4" t="n">
        <v>24.73263888888889</v>
      </c>
      <c r="N33" s="4" t="n">
        <v>15.39768518518518</v>
      </c>
      <c r="O33" s="4" t="inlineStr">
        <is>
          <t>Sí</t>
        </is>
      </c>
      <c r="P33" s="4" t="inlineStr"/>
    </row>
    <row r="34">
      <c r="A34" s="3" t="n">
        <v>26225040</v>
      </c>
      <c r="B34" s="3" t="inlineStr">
        <is>
          <t>Piunti Hda</t>
        </is>
      </c>
      <c r="C34" s="3" t="inlineStr">
        <is>
          <t>Buritica</t>
        </is>
      </c>
      <c r="D34" s="3" t="inlineStr">
        <is>
          <t>Antioquia</t>
        </is>
      </c>
      <c r="E34" s="3" t="inlineStr">
        <is>
          <t>CO</t>
        </is>
      </c>
      <c r="F34" s="3" t="n">
        <v>1650</v>
      </c>
      <c r="G34" s="3" t="n">
        <v>1594</v>
      </c>
      <c r="H34" s="3" t="n">
        <v>56</v>
      </c>
      <c r="I34" s="3" t="n">
        <v>12</v>
      </c>
      <c r="J34" s="3" t="n">
        <v>12</v>
      </c>
      <c r="K34" s="3" t="n">
        <v>0</v>
      </c>
      <c r="L34" s="3" t="n">
        <v>20.72904526029527</v>
      </c>
      <c r="M34" s="3" t="n">
        <v>25.80540913335031</v>
      </c>
      <c r="N34" s="3" t="n"/>
      <c r="O34" s="3" t="inlineStr">
        <is>
          <t>No</t>
        </is>
      </c>
      <c r="P34" s="3" t="inlineStr">
        <is>
          <t>Serie incompleta (&lt; 12 meses) en Tmin</t>
        </is>
      </c>
    </row>
    <row r="35">
      <c r="A35" s="4" t="n">
        <v>26145030</v>
      </c>
      <c r="B35" s="4" t="inlineStr">
        <is>
          <t>Camelia La</t>
        </is>
      </c>
      <c r="C35" s="4" t="inlineStr">
        <is>
          <t>Santuario</t>
        </is>
      </c>
      <c r="D35" s="4" t="inlineStr">
        <is>
          <t>Risaralda</t>
        </is>
      </c>
      <c r="E35" s="4" t="inlineStr">
        <is>
          <t>CO</t>
        </is>
      </c>
      <c r="F35" s="4" t="n">
        <v>1650</v>
      </c>
      <c r="G35" s="4" t="n">
        <v>1723</v>
      </c>
      <c r="H35" s="4" t="n">
        <v>-73</v>
      </c>
      <c r="I35" s="4" t="n">
        <v>12</v>
      </c>
      <c r="J35" s="4" t="n">
        <v>12</v>
      </c>
      <c r="K35" s="4" t="n">
        <v>12</v>
      </c>
      <c r="L35" s="4" t="n">
        <v>19.19138888888889</v>
      </c>
      <c r="M35" s="4" t="n">
        <v>23.60888888888888</v>
      </c>
      <c r="N35" s="4" t="n">
        <v>16.17135107690663</v>
      </c>
      <c r="O35" s="4" t="inlineStr">
        <is>
          <t>Sí</t>
        </is>
      </c>
      <c r="P35" s="4" t="inlineStr"/>
    </row>
    <row r="36">
      <c r="A36" s="4" t="n">
        <v>26125130</v>
      </c>
      <c r="B36" s="4" t="inlineStr">
        <is>
          <t>Cumbarco</t>
        </is>
      </c>
      <c r="C36" s="4" t="inlineStr">
        <is>
          <t>Sevilla</t>
        </is>
      </c>
      <c r="D36" s="4" t="inlineStr">
        <is>
          <t>Valle del Cauca</t>
        </is>
      </c>
      <c r="E36" s="4" t="inlineStr">
        <is>
          <t>CO</t>
        </is>
      </c>
      <c r="F36" s="4" t="n">
        <v>1692</v>
      </c>
      <c r="G36" s="4" t="n">
        <v>1722</v>
      </c>
      <c r="H36" s="4" t="n">
        <v>-30</v>
      </c>
      <c r="I36" s="4" t="n">
        <v>12</v>
      </c>
      <c r="J36" s="4" t="n">
        <v>12</v>
      </c>
      <c r="K36" s="4" t="n">
        <v>12</v>
      </c>
      <c r="L36" s="4" t="n">
        <v>18.875</v>
      </c>
      <c r="M36" s="4" t="n">
        <v>23.35383522727273</v>
      </c>
      <c r="N36" s="4" t="n">
        <v>15.10694444444444</v>
      </c>
      <c r="O36" s="4" t="inlineStr">
        <is>
          <t>Sí</t>
        </is>
      </c>
      <c r="P36" s="4" t="inlineStr"/>
    </row>
    <row r="37">
      <c r="A37" s="4" t="n">
        <v>26135110</v>
      </c>
      <c r="B37" s="4" t="inlineStr">
        <is>
          <t>Veracruz</t>
        </is>
      </c>
      <c r="C37" s="4" t="inlineStr">
        <is>
          <t>Pereira</t>
        </is>
      </c>
      <c r="D37" s="4" t="inlineStr">
        <is>
          <t>Risaralda</t>
        </is>
      </c>
      <c r="E37" s="4" t="inlineStr">
        <is>
          <t>CO</t>
        </is>
      </c>
      <c r="F37" s="4" t="n">
        <v>1720</v>
      </c>
      <c r="G37" s="4" t="n">
        <v>1683</v>
      </c>
      <c r="H37" s="4" t="n">
        <v>37</v>
      </c>
      <c r="I37" s="4" t="n">
        <v>12</v>
      </c>
      <c r="J37" s="4" t="n">
        <v>12</v>
      </c>
      <c r="K37" s="4" t="n">
        <v>12</v>
      </c>
      <c r="L37" s="4" t="n">
        <v>18.76666666666666</v>
      </c>
      <c r="M37" s="4" t="n">
        <v>23.7763888888889</v>
      </c>
      <c r="N37" s="4" t="n">
        <v>14.57298850574713</v>
      </c>
      <c r="O37" s="4" t="inlineStr">
        <is>
          <t>Sí</t>
        </is>
      </c>
      <c r="P37" s="4" t="inlineStr"/>
    </row>
    <row r="38">
      <c r="A38" s="3" t="n">
        <v>26035030</v>
      </c>
      <c r="B38" s="3" t="inlineStr">
        <is>
          <t>Apto G L Valencia</t>
        </is>
      </c>
      <c r="C38" s="3" t="inlineStr">
        <is>
          <t>Popayan</t>
        </is>
      </c>
      <c r="D38" s="3" t="inlineStr">
        <is>
          <t>Cauca</t>
        </is>
      </c>
      <c r="E38" s="3" t="inlineStr">
        <is>
          <t>SP</t>
        </is>
      </c>
      <c r="F38" s="3" t="n">
        <v>1749</v>
      </c>
      <c r="G38" s="3" t="n">
        <v>1727</v>
      </c>
      <c r="H38" s="3" t="n">
        <v>22</v>
      </c>
      <c r="I38" s="3" t="n">
        <v>0</v>
      </c>
      <c r="J38" s="3" t="n">
        <v>12</v>
      </c>
      <c r="K38" s="3" t="n">
        <v>12</v>
      </c>
      <c r="L38" s="3" t="n"/>
      <c r="M38" s="3" t="n">
        <v>24.87305555555556</v>
      </c>
      <c r="N38" s="3" t="n">
        <v>13.41020202020202</v>
      </c>
      <c r="O38" s="3" t="inlineStr">
        <is>
          <t>No</t>
        </is>
      </c>
      <c r="P38" s="3" t="inlineStr">
        <is>
          <t>Serie incompleta (&lt; 12 meses) en Tmed</t>
        </is>
      </c>
    </row>
    <row r="39">
      <c r="A39" s="4" t="n">
        <v>26025100</v>
      </c>
      <c r="B39" s="4" t="inlineStr">
        <is>
          <t>Tunia</t>
        </is>
      </c>
      <c r="C39" s="4" t="inlineStr">
        <is>
          <t>Piendamo</t>
        </is>
      </c>
      <c r="D39" s="4" t="inlineStr">
        <is>
          <t>Cauca</t>
        </is>
      </c>
      <c r="E39" s="4" t="inlineStr">
        <is>
          <t>CO</t>
        </is>
      </c>
      <c r="F39" s="4" t="n">
        <v>1800</v>
      </c>
      <c r="G39" s="4" t="n">
        <v>1797</v>
      </c>
      <c r="H39" s="4" t="n">
        <v>3</v>
      </c>
      <c r="I39" s="4" t="n">
        <v>12</v>
      </c>
      <c r="J39" s="4" t="n">
        <v>12</v>
      </c>
      <c r="K39" s="4" t="n">
        <v>12</v>
      </c>
      <c r="L39" s="4" t="n">
        <v>19.06522727272727</v>
      </c>
      <c r="M39" s="4" t="n">
        <v>23.79523809523809</v>
      </c>
      <c r="N39" s="4" t="n">
        <v>14.38095238095238</v>
      </c>
      <c r="O39" s="4" t="inlineStr">
        <is>
          <t>Sí</t>
        </is>
      </c>
      <c r="P39" s="4" t="inlineStr"/>
    </row>
    <row r="40">
      <c r="A40" s="4" t="n">
        <v>26025090</v>
      </c>
      <c r="B40" s="4" t="inlineStr">
        <is>
          <t>Venta De Cajibio</t>
        </is>
      </c>
      <c r="C40" s="4" t="inlineStr">
        <is>
          <t>Cajibio</t>
        </is>
      </c>
      <c r="D40" s="4" t="inlineStr">
        <is>
          <t>Cauca</t>
        </is>
      </c>
      <c r="E40" s="4" t="inlineStr">
        <is>
          <t>CO</t>
        </is>
      </c>
      <c r="F40" s="4" t="n">
        <v>1850</v>
      </c>
      <c r="G40" s="4" t="n">
        <v>1829</v>
      </c>
      <c r="H40" s="4" t="n">
        <v>21</v>
      </c>
      <c r="I40" s="4" t="n">
        <v>12</v>
      </c>
      <c r="J40" s="4" t="n">
        <v>12</v>
      </c>
      <c r="K40" s="4" t="n">
        <v>12</v>
      </c>
      <c r="L40" s="4" t="n">
        <v>18.49444444444445</v>
      </c>
      <c r="M40" s="4" t="n">
        <v>24.52123857623857</v>
      </c>
      <c r="N40" s="4" t="n">
        <v>13.72681818181818</v>
      </c>
      <c r="O40" s="4" t="inlineStr">
        <is>
          <t>Sí</t>
        </is>
      </c>
      <c r="P40" s="4" t="inlineStr"/>
    </row>
    <row r="41">
      <c r="A41" s="4" t="n">
        <v>26215010</v>
      </c>
      <c r="B41" s="4" t="inlineStr">
        <is>
          <t>Concordia</t>
        </is>
      </c>
      <c r="C41" s="4" t="inlineStr">
        <is>
          <t>Concordia</t>
        </is>
      </c>
      <c r="D41" s="4" t="inlineStr">
        <is>
          <t>Antioquia</t>
        </is>
      </c>
      <c r="E41" s="4" t="inlineStr">
        <is>
          <t>CO</t>
        </is>
      </c>
      <c r="F41" s="4" t="n">
        <v>1904</v>
      </c>
      <c r="G41" s="4" t="n">
        <v>1972</v>
      </c>
      <c r="H41" s="4" t="n">
        <v>-68</v>
      </c>
      <c r="I41" s="4" t="n">
        <v>12</v>
      </c>
      <c r="J41" s="4" t="n">
        <v>12</v>
      </c>
      <c r="K41" s="4" t="n">
        <v>12</v>
      </c>
      <c r="L41" s="4" t="n">
        <v>18.51097701149425</v>
      </c>
      <c r="M41" s="4" t="n">
        <v>23.23080059857838</v>
      </c>
      <c r="N41" s="4" t="n">
        <v>14.27094650205761</v>
      </c>
      <c r="O41" s="4" t="inlineStr">
        <is>
          <t>Sí</t>
        </is>
      </c>
      <c r="P41" s="4" t="inlineStr"/>
    </row>
    <row r="42">
      <c r="A42" s="4" t="n">
        <v>26145020</v>
      </c>
      <c r="B42" s="4" t="inlineStr">
        <is>
          <t>Bellavista</t>
        </is>
      </c>
      <c r="C42" s="4" t="inlineStr">
        <is>
          <t>Anserma</t>
        </is>
      </c>
      <c r="D42" s="4" t="inlineStr">
        <is>
          <t>Caldas</t>
        </is>
      </c>
      <c r="E42" s="4" t="inlineStr">
        <is>
          <t>CO</t>
        </is>
      </c>
      <c r="F42" s="4" t="n">
        <v>1932</v>
      </c>
      <c r="G42" s="4" t="n">
        <v>1990</v>
      </c>
      <c r="H42" s="4" t="n">
        <v>-58</v>
      </c>
      <c r="I42" s="4" t="n">
        <v>12</v>
      </c>
      <c r="J42" s="4" t="n">
        <v>12</v>
      </c>
      <c r="K42" s="4" t="n">
        <v>12</v>
      </c>
      <c r="L42" s="4" t="n">
        <v>17.00929834054834</v>
      </c>
      <c r="M42" s="4" t="n">
        <v>21.50941370223979</v>
      </c>
      <c r="N42" s="4" t="n">
        <v>13.38255366161616</v>
      </c>
      <c r="O42" s="4" t="inlineStr">
        <is>
          <t>Sí</t>
        </is>
      </c>
      <c r="P42" s="4" t="inlineStr"/>
    </row>
    <row r="43">
      <c r="A43" s="4" t="n">
        <v>26135160</v>
      </c>
      <c r="B43" s="4" t="inlineStr">
        <is>
          <t>San Remo</t>
        </is>
      </c>
      <c r="C43" s="4" t="inlineStr">
        <is>
          <t>Santa Rosa de Cabal</t>
        </is>
      </c>
      <c r="D43" s="4" t="inlineStr">
        <is>
          <t>Risaralda</t>
        </is>
      </c>
      <c r="E43" s="4" t="inlineStr">
        <is>
          <t>CO</t>
        </is>
      </c>
      <c r="F43" s="4" t="n">
        <v>2000</v>
      </c>
      <c r="G43" s="4" t="n">
        <v>1910</v>
      </c>
      <c r="H43" s="4" t="n">
        <v>90</v>
      </c>
      <c r="I43" s="4" t="n">
        <v>12</v>
      </c>
      <c r="J43" s="4" t="n">
        <v>12</v>
      </c>
      <c r="K43" s="4" t="n">
        <v>12</v>
      </c>
      <c r="L43" s="4" t="n">
        <v>17.08968253968254</v>
      </c>
      <c r="M43" s="4" t="n">
        <v>21.60823412698413</v>
      </c>
      <c r="N43" s="4" t="n">
        <v>13.69991071428571</v>
      </c>
      <c r="O43" s="4" t="inlineStr">
        <is>
          <t>Sí</t>
        </is>
      </c>
      <c r="P43" s="4" t="inlineStr"/>
    </row>
    <row r="44">
      <c r="A44" s="4" t="n">
        <v>26195030</v>
      </c>
      <c r="B44" s="4" t="inlineStr">
        <is>
          <t>Jardin El</t>
        </is>
      </c>
      <c r="C44" s="4" t="inlineStr">
        <is>
          <t>Jardin</t>
        </is>
      </c>
      <c r="D44" s="4" t="inlineStr">
        <is>
          <t>Antioquia</t>
        </is>
      </c>
      <c r="E44" s="4" t="inlineStr">
        <is>
          <t>CO</t>
        </is>
      </c>
      <c r="F44" s="4" t="n">
        <v>2005</v>
      </c>
      <c r="G44" s="4" t="n">
        <v>1985</v>
      </c>
      <c r="H44" s="4" t="n">
        <v>20</v>
      </c>
      <c r="I44" s="4" t="n">
        <v>12</v>
      </c>
      <c r="J44" s="4" t="n">
        <v>12</v>
      </c>
      <c r="K44" s="4" t="n">
        <v>12</v>
      </c>
      <c r="L44" s="4" t="n">
        <v>17.05526315789474</v>
      </c>
      <c r="M44" s="4" t="n">
        <v>21.90570175438596</v>
      </c>
      <c r="N44" s="4" t="n">
        <v>13.40921052631579</v>
      </c>
      <c r="O44" s="4" t="inlineStr">
        <is>
          <t>Sí</t>
        </is>
      </c>
      <c r="P44" s="4" t="inlineStr"/>
    </row>
    <row r="45">
      <c r="A45" s="4" t="n">
        <v>26155110</v>
      </c>
      <c r="B45" s="4" t="inlineStr">
        <is>
          <t>Apto La Nubia</t>
        </is>
      </c>
      <c r="C45" s="4" t="inlineStr">
        <is>
          <t>Manizales</t>
        </is>
      </c>
      <c r="D45" s="4" t="inlineStr">
        <is>
          <t>Caldas</t>
        </is>
      </c>
      <c r="E45" s="4" t="inlineStr">
        <is>
          <t>SP</t>
        </is>
      </c>
      <c r="F45" s="4" t="n">
        <v>2058</v>
      </c>
      <c r="G45" s="4" t="n">
        <v>2080</v>
      </c>
      <c r="H45" s="4" t="n">
        <v>-22</v>
      </c>
      <c r="I45" s="4" t="n">
        <v>12</v>
      </c>
      <c r="J45" s="4" t="n">
        <v>12</v>
      </c>
      <c r="K45" s="4" t="n">
        <v>12</v>
      </c>
      <c r="L45" s="4" t="n">
        <v>17.00454545454545</v>
      </c>
      <c r="M45" s="4" t="n">
        <v>21.34333814333814</v>
      </c>
      <c r="N45" s="4" t="n">
        <v>12.44810606060606</v>
      </c>
      <c r="O45" s="4" t="inlineStr">
        <is>
          <t>Sí</t>
        </is>
      </c>
      <c r="P45" s="4" t="inlineStr"/>
    </row>
    <row r="46">
      <c r="A46" s="4" t="n">
        <v>11025010</v>
      </c>
      <c r="B46" s="4" t="inlineStr">
        <is>
          <t>Mansa La</t>
        </is>
      </c>
      <c r="C46" s="4" t="inlineStr">
        <is>
          <t>Ciudad Bolivar</t>
        </is>
      </c>
      <c r="D46" s="4" t="inlineStr">
        <is>
          <t>Antioquia</t>
        </is>
      </c>
      <c r="E46" s="4" t="inlineStr">
        <is>
          <t>CO</t>
        </is>
      </c>
      <c r="F46" s="4" t="n">
        <v>2100</v>
      </c>
      <c r="G46" s="4" t="n">
        <v>1994</v>
      </c>
      <c r="H46" s="4" t="n">
        <v>106</v>
      </c>
      <c r="I46" s="4" t="n">
        <v>12</v>
      </c>
      <c r="J46" s="4" t="n">
        <v>12</v>
      </c>
      <c r="K46" s="4" t="n">
        <v>12</v>
      </c>
      <c r="L46" s="4" t="n">
        <v>16.75759090909091</v>
      </c>
      <c r="M46" s="4" t="n">
        <v>21.03809523809524</v>
      </c>
      <c r="N46" s="4" t="n">
        <v>12.99375653082549</v>
      </c>
      <c r="O46" s="4" t="inlineStr">
        <is>
          <t>Sí</t>
        </is>
      </c>
      <c r="P46" s="4" t="inlineStr"/>
    </row>
    <row r="47">
      <c r="A47" s="4" t="n">
        <v>26135070</v>
      </c>
      <c r="B47" s="4" t="inlineStr">
        <is>
          <t>Cedral El</t>
        </is>
      </c>
      <c r="C47" s="4" t="inlineStr">
        <is>
          <t>Pereira</t>
        </is>
      </c>
      <c r="D47" s="4" t="inlineStr">
        <is>
          <t>Risaralda</t>
        </is>
      </c>
      <c r="E47" s="4" t="inlineStr">
        <is>
          <t>CO</t>
        </is>
      </c>
      <c r="F47" s="4" t="n">
        <v>2120</v>
      </c>
      <c r="G47" s="4" t="n">
        <v>2905</v>
      </c>
      <c r="H47" s="4" t="n">
        <v>-785</v>
      </c>
      <c r="I47" s="4" t="n">
        <v>12</v>
      </c>
      <c r="J47" s="4" t="n">
        <v>12</v>
      </c>
      <c r="K47" s="4" t="n">
        <v>12</v>
      </c>
      <c r="L47" s="4" t="n">
        <v>15.1810606060606</v>
      </c>
      <c r="M47" s="4" t="n">
        <v>19.54393939393939</v>
      </c>
      <c r="N47" s="4" t="n">
        <v>11.46818181818182</v>
      </c>
      <c r="O47" s="4" t="inlineStr">
        <is>
          <t>Sí</t>
        </is>
      </c>
      <c r="P47" s="4" t="inlineStr"/>
    </row>
    <row r="48">
      <c r="A48" s="4" t="n">
        <v>26185010</v>
      </c>
      <c r="B48" s="4" t="inlineStr">
        <is>
          <t>Pelada La</t>
        </is>
      </c>
      <c r="C48" s="4" t="inlineStr">
        <is>
          <t>Aguadas</t>
        </is>
      </c>
      <c r="D48" s="4" t="inlineStr">
        <is>
          <t>Caldas</t>
        </is>
      </c>
      <c r="E48" s="4" t="inlineStr">
        <is>
          <t>CO</t>
        </is>
      </c>
      <c r="F48" s="4" t="n">
        <v>2180</v>
      </c>
      <c r="G48" s="4" t="n">
        <v>2194</v>
      </c>
      <c r="H48" s="4" t="n">
        <v>-14</v>
      </c>
      <c r="I48" s="4" t="n">
        <v>12</v>
      </c>
      <c r="J48" s="4" t="n">
        <v>12</v>
      </c>
      <c r="K48" s="4" t="n">
        <v>12</v>
      </c>
      <c r="L48" s="4" t="n">
        <v>16.71346153846154</v>
      </c>
      <c r="M48" s="4" t="n">
        <v>21.52631868131868</v>
      </c>
      <c r="N48" s="4" t="n">
        <v>12.25299145299145</v>
      </c>
      <c r="O48" s="4" t="inlineStr">
        <is>
          <t>Sí</t>
        </is>
      </c>
      <c r="P48" s="4" t="inlineStr"/>
    </row>
    <row r="49">
      <c r="A49" s="4" t="n">
        <v>26185020</v>
      </c>
      <c r="B49" s="4" t="inlineStr">
        <is>
          <t>Mesopotamia</t>
        </is>
      </c>
      <c r="C49" s="4" t="inlineStr">
        <is>
          <t>La Union</t>
        </is>
      </c>
      <c r="D49" s="4" t="inlineStr">
        <is>
          <t>Antioquia</t>
        </is>
      </c>
      <c r="E49" s="4" t="inlineStr">
        <is>
          <t>CO</t>
        </is>
      </c>
      <c r="F49" s="4" t="n">
        <v>2314</v>
      </c>
      <c r="G49" s="4" t="n">
        <v>2369</v>
      </c>
      <c r="H49" s="4" t="n">
        <v>-55</v>
      </c>
      <c r="I49" s="4" t="n">
        <v>12</v>
      </c>
      <c r="J49" s="4" t="n">
        <v>12</v>
      </c>
      <c r="K49" s="4" t="n">
        <v>12</v>
      </c>
      <c r="L49" s="4" t="n">
        <v>14.86723985890652</v>
      </c>
      <c r="M49" s="4" t="n">
        <v>20.3981240981241</v>
      </c>
      <c r="N49" s="4" t="n">
        <v>10.14332298136646</v>
      </c>
      <c r="O49" s="4" t="inlineStr">
        <is>
          <t>Sí</t>
        </is>
      </c>
      <c r="P49" s="4" t="inlineStr"/>
    </row>
    <row r="50">
      <c r="A50" s="3" t="n">
        <v>27015110</v>
      </c>
      <c r="B50" s="3" t="inlineStr">
        <is>
          <t>Aragon</t>
        </is>
      </c>
      <c r="C50" s="3" t="inlineStr">
        <is>
          <t>Santa Rosa de Osos</t>
        </is>
      </c>
      <c r="D50" s="3" t="inlineStr">
        <is>
          <t>Antioquia</t>
        </is>
      </c>
      <c r="E50" s="3" t="inlineStr">
        <is>
          <t>CO</t>
        </is>
      </c>
      <c r="F50" s="3" t="n">
        <v>2600</v>
      </c>
      <c r="G50" s="3" t="n">
        <v>513</v>
      </c>
      <c r="H50" s="3" t="n">
        <v>2087</v>
      </c>
      <c r="I50" s="3" t="n">
        <v>12</v>
      </c>
      <c r="J50" s="3" t="n">
        <v>12</v>
      </c>
      <c r="K50" s="3" t="n">
        <v>12</v>
      </c>
      <c r="L50" s="3" t="n">
        <v>13.34362865104244</v>
      </c>
      <c r="M50" s="3" t="n">
        <v>18.19620995670995</v>
      </c>
      <c r="N50" s="3" t="n">
        <v>7.706385281385281</v>
      </c>
      <c r="O50" s="3" t="inlineStr">
        <is>
          <t>No</t>
        </is>
      </c>
      <c r="P50" s="3" t="inlineStr">
        <is>
          <t>Coordenada errónea: cae a 512 m en el cañón del Cauca; la estación (2600 m) está en Santa Rosa de Osos, cuenca del Nechí (fuera de la cuenca)</t>
        </is>
      </c>
    </row>
    <row r="51">
      <c r="A51" s="4" t="n">
        <v>26095080</v>
      </c>
      <c r="B51" s="4" t="inlineStr">
        <is>
          <t>Tenerife</t>
        </is>
      </c>
      <c r="C51" s="4" t="inlineStr">
        <is>
          <t>El Cerrito</t>
        </is>
      </c>
      <c r="D51" s="4" t="inlineStr">
        <is>
          <t>Valle del Cauca</t>
        </is>
      </c>
      <c r="E51" s="4" t="inlineStr">
        <is>
          <t>CO</t>
        </is>
      </c>
      <c r="F51" s="4" t="n">
        <v>2609</v>
      </c>
      <c r="G51" s="4" t="n">
        <v>2599</v>
      </c>
      <c r="H51" s="4" t="n">
        <v>10</v>
      </c>
      <c r="I51" s="4" t="n">
        <v>12</v>
      </c>
      <c r="J51" s="4" t="n">
        <v>12</v>
      </c>
      <c r="K51" s="4" t="n">
        <v>12</v>
      </c>
      <c r="L51" s="4" t="n">
        <v>13.63922558922559</v>
      </c>
      <c r="M51" s="4" t="n">
        <v>17.72504251700681</v>
      </c>
      <c r="N51" s="4" t="n">
        <v>10.01101398601399</v>
      </c>
      <c r="O51" s="4" t="inlineStr">
        <is>
          <t>Sí</t>
        </is>
      </c>
      <c r="P51" s="4" t="inlineStr"/>
    </row>
    <row r="52">
      <c r="A52" s="4" t="n">
        <v>26185040</v>
      </c>
      <c r="B52" s="4" t="inlineStr">
        <is>
          <t>San Felix</t>
        </is>
      </c>
      <c r="C52" s="4" t="inlineStr">
        <is>
          <t>Salamina</t>
        </is>
      </c>
      <c r="D52" s="4" t="inlineStr">
        <is>
          <t>Caldas</t>
        </is>
      </c>
      <c r="E52" s="4" t="inlineStr">
        <is>
          <t>CO</t>
        </is>
      </c>
      <c r="F52" s="4" t="n">
        <v>2696</v>
      </c>
      <c r="G52" s="4" t="n">
        <v>2841</v>
      </c>
      <c r="H52" s="4" t="n">
        <v>-145</v>
      </c>
      <c r="I52" s="4" t="n">
        <v>12</v>
      </c>
      <c r="J52" s="4" t="n">
        <v>12</v>
      </c>
      <c r="K52" s="4" t="n">
        <v>12</v>
      </c>
      <c r="L52" s="4" t="n">
        <v>11.37300479282622</v>
      </c>
      <c r="M52" s="4" t="n">
        <v>16.63653278819946</v>
      </c>
      <c r="N52" s="4" t="n">
        <v>6.087131261595547</v>
      </c>
      <c r="O52" s="4" t="inlineStr">
        <is>
          <t>Sí</t>
        </is>
      </c>
      <c r="P52" s="4" t="inlineStr"/>
    </row>
    <row r="53">
      <c r="A53" s="4" t="n">
        <v>26105140</v>
      </c>
      <c r="B53" s="4" t="inlineStr">
        <is>
          <t>Barragan</t>
        </is>
      </c>
      <c r="C53" s="4" t="inlineStr">
        <is>
          <t>Tulua</t>
        </is>
      </c>
      <c r="D53" s="4" t="inlineStr">
        <is>
          <t>Valle del Cauca</t>
        </is>
      </c>
      <c r="E53" s="4" t="inlineStr">
        <is>
          <t>CO</t>
        </is>
      </c>
      <c r="F53" s="4" t="n">
        <v>2902</v>
      </c>
      <c r="G53" s="4" t="n">
        <v>3007</v>
      </c>
      <c r="H53" s="4" t="n">
        <v>-105</v>
      </c>
      <c r="I53" s="4" t="n">
        <v>12</v>
      </c>
      <c r="J53" s="4" t="n">
        <v>12</v>
      </c>
      <c r="K53" s="4" t="n">
        <v>12</v>
      </c>
      <c r="L53" s="4" t="n">
        <v>11.73777777777778</v>
      </c>
      <c r="M53" s="4" t="n">
        <v>16.04325441919192</v>
      </c>
      <c r="N53" s="4" t="n">
        <v>7.588333333333334</v>
      </c>
      <c r="O53" s="4" t="inlineStr">
        <is>
          <t>Sí</t>
        </is>
      </c>
      <c r="P53" s="4" t="inlineStr"/>
    </row>
    <row r="54">
      <c r="A54" s="4" t="n">
        <v>26025070</v>
      </c>
      <c r="B54" s="4" t="inlineStr">
        <is>
          <t>Gabriel Lopez</t>
        </is>
      </c>
      <c r="C54" s="4" t="inlineStr">
        <is>
          <t>Totoro</t>
        </is>
      </c>
      <c r="D54" s="4" t="inlineStr">
        <is>
          <t>Cauca</t>
        </is>
      </c>
      <c r="E54" s="4" t="inlineStr">
        <is>
          <t>CO</t>
        </is>
      </c>
      <c r="F54" s="4" t="n">
        <v>3000</v>
      </c>
      <c r="G54" s="4" t="n">
        <v>3045</v>
      </c>
      <c r="H54" s="4" t="n">
        <v>-45</v>
      </c>
      <c r="I54" s="4" t="n">
        <v>12</v>
      </c>
      <c r="J54" s="4" t="n">
        <v>12</v>
      </c>
      <c r="K54" s="4" t="n">
        <v>12</v>
      </c>
      <c r="L54" s="4" t="n">
        <v>10.40888888888889</v>
      </c>
      <c r="M54" s="4" t="n">
        <v>15.15520833333333</v>
      </c>
      <c r="N54" s="4" t="n">
        <v>6.199999999999998</v>
      </c>
      <c r="O54" s="4" t="inlineStr">
        <is>
          <t>Sí</t>
        </is>
      </c>
      <c r="P54" s="4" t="inlineStr"/>
    </row>
    <row r="55">
      <c r="A55" s="4" t="n">
        <v>26155150</v>
      </c>
      <c r="B55" s="4" t="inlineStr">
        <is>
          <t>Brisas Las</t>
        </is>
      </c>
      <c r="C55" s="4" t="inlineStr">
        <is>
          <t>Villamaria</t>
        </is>
      </c>
      <c r="D55" s="4" t="inlineStr">
        <is>
          <t>Caldas</t>
        </is>
      </c>
      <c r="E55" s="4" t="inlineStr">
        <is>
          <t>CP</t>
        </is>
      </c>
      <c r="F55" s="4" t="n">
        <v>4150</v>
      </c>
      <c r="G55" s="4" t="n">
        <v>4513</v>
      </c>
      <c r="H55" s="4" t="n">
        <v>-363</v>
      </c>
      <c r="I55" s="4" t="n">
        <v>12</v>
      </c>
      <c r="J55" s="4" t="n">
        <v>12</v>
      </c>
      <c r="K55" s="4" t="n">
        <v>12</v>
      </c>
      <c r="L55" s="4" t="n">
        <v>4.636264367816091</v>
      </c>
      <c r="M55" s="4" t="n">
        <v>8.432222222222222</v>
      </c>
      <c r="N55" s="4" t="n">
        <v>1.232614942528736</v>
      </c>
      <c r="O55" s="4" t="inlineStr">
        <is>
          <t>Sí</t>
        </is>
      </c>
      <c r="P5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8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Código</t>
        </is>
      </c>
      <c r="B1" s="2" t="inlineStr">
        <is>
          <t>Nombre</t>
        </is>
      </c>
      <c r="C1" s="2" t="inlineStr">
        <is>
          <t>Municipio</t>
        </is>
      </c>
      <c r="D1" s="2" t="inlineStr">
        <is>
          <t>Z (m)</t>
        </is>
      </c>
      <c r="E1" s="2" t="inlineStr">
        <is>
          <t>Tmax (°C)</t>
        </is>
      </c>
      <c r="F1" s="2" t="inlineStr">
        <is>
          <t>Tmin (°C)</t>
        </is>
      </c>
      <c r="G1" s="2" t="inlineStr">
        <is>
          <t>Tmed (°C)</t>
        </is>
      </c>
      <c r="H1" s="2" t="inlineStr">
        <is>
          <t>(Tmax+Tmin)/2 (°C)</t>
        </is>
      </c>
      <c r="I1" s="2" t="inlineStr">
        <is>
          <t>Tmax · T estimada</t>
        </is>
      </c>
      <c r="J1" s="2" t="inlineStr">
        <is>
          <t>Tmax · Residuo</t>
        </is>
      </c>
      <c r="K1" s="2" t="inlineStr">
        <is>
          <t>Tmax · Leverage h</t>
        </is>
      </c>
      <c r="L1" s="2" t="inlineStr">
        <is>
          <t>Tmax · Residuo estudentizado</t>
        </is>
      </c>
      <c r="M1" s="2" t="inlineStr">
        <is>
          <t>Tmax · ¿Atípico?</t>
        </is>
      </c>
      <c r="N1" s="2" t="inlineStr">
        <is>
          <t>Tmin · T estimada</t>
        </is>
      </c>
      <c r="O1" s="2" t="inlineStr">
        <is>
          <t>Tmin · Residuo</t>
        </is>
      </c>
      <c r="P1" s="2" t="inlineStr">
        <is>
          <t>Tmin · Leverage h</t>
        </is>
      </c>
      <c r="Q1" s="2" t="inlineStr">
        <is>
          <t>Tmin · Residuo estudentizado</t>
        </is>
      </c>
      <c r="R1" s="2" t="inlineStr">
        <is>
          <t>Tmin · ¿Atípico?</t>
        </is>
      </c>
      <c r="S1" s="2" t="inlineStr">
        <is>
          <t>Tmed · T estimada</t>
        </is>
      </c>
      <c r="T1" s="2" t="inlineStr">
        <is>
          <t>Tmed · Residuo</t>
        </is>
      </c>
      <c r="U1" s="2" t="inlineStr">
        <is>
          <t>Tmed · Leverage h</t>
        </is>
      </c>
      <c r="V1" s="2" t="inlineStr">
        <is>
          <t>Tmed · Residuo estudentizado</t>
        </is>
      </c>
      <c r="W1" s="2" t="inlineStr">
        <is>
          <t>Tmed · ¿Atípico?</t>
        </is>
      </c>
    </row>
    <row r="2">
      <c r="A2" s="4" t="n">
        <v>26175040</v>
      </c>
      <c r="B2" s="4" t="inlineStr">
        <is>
          <t>Tunez Hda</t>
        </is>
      </c>
      <c r="C2" s="4" t="inlineStr">
        <is>
          <t>Fredonia</t>
        </is>
      </c>
      <c r="D2" s="4" t="n">
        <v>530</v>
      </c>
      <c r="E2" s="4" t="n">
        <v>32.86049873737373</v>
      </c>
      <c r="F2" s="4" t="n">
        <v>19.52587834870443</v>
      </c>
      <c r="G2" s="4" t="n">
        <v>25.96646148989899</v>
      </c>
      <c r="H2" s="4">
        <f>(E2+F2)/2</f>
        <v/>
      </c>
      <c r="I2" s="5">
        <f>Regresiones!$C$2+Regresiones!$D$2*D2</f>
        <v/>
      </c>
      <c r="J2" s="5">
        <f>E2-I2</f>
        <v/>
      </c>
      <c r="K2" s="5">
        <f>1/COUNT($D$2:$D$48)+(D2-AVERAGE($D$2:$D$48))^2/DEVSQ($D$2:$D$48)</f>
        <v/>
      </c>
      <c r="L2" s="5">
        <f>J2/(Regresiones!$J$2*SQRT(1-K2))</f>
        <v/>
      </c>
      <c r="M2" s="5">
        <f>IF(ABS(L2)&gt;2.5,"Sí","No")</f>
        <v/>
      </c>
      <c r="N2" s="5">
        <f>Regresiones!$C$3+Regresiones!$D$3*D2</f>
        <v/>
      </c>
      <c r="O2" s="5">
        <f>F2-N2</f>
        <v/>
      </c>
      <c r="P2" s="5">
        <f>1/COUNT($D$2:$D$48)+(D2-AVERAGE($D$2:$D$48))^2/DEVSQ($D$2:$D$48)</f>
        <v/>
      </c>
      <c r="Q2" s="5">
        <f>O2/(Regresiones!$J$3*SQRT(1-P2))</f>
        <v/>
      </c>
      <c r="R2" s="5">
        <f>IF(ABS(Q2)&gt;2.5,"Sí","No")</f>
        <v/>
      </c>
      <c r="S2" s="5">
        <f>Regresiones!$C$4+Regresiones!$D$4*D2</f>
        <v/>
      </c>
      <c r="T2" s="5">
        <f>G2-S2</f>
        <v/>
      </c>
      <c r="U2" s="5">
        <f>1/COUNT($D$2:$D$48)+(D2-AVERAGE($D$2:$D$48))^2/DEVSQ($D$2:$D$48)</f>
        <v/>
      </c>
      <c r="V2" s="5">
        <f>T2/(Regresiones!$J$4*SQRT(1-U2))</f>
        <v/>
      </c>
      <c r="W2" s="5">
        <f>IF(ABS(V2)&gt;2.5,"Sí","No")</f>
        <v/>
      </c>
    </row>
    <row r="3">
      <c r="A3" s="4" t="n">
        <v>26225030</v>
      </c>
      <c r="B3" s="4" t="inlineStr">
        <is>
          <t>Cotove Hda</t>
        </is>
      </c>
      <c r="C3" s="4" t="inlineStr">
        <is>
          <t>Santafe de Antioquia</t>
        </is>
      </c>
      <c r="D3" s="4" t="n">
        <v>530</v>
      </c>
      <c r="E3" s="4" t="n">
        <v>34.53776366145932</v>
      </c>
      <c r="F3" s="4" t="n">
        <v>20.44659652076319</v>
      </c>
      <c r="G3" s="4" t="n">
        <v>27.03819444444445</v>
      </c>
      <c r="H3" s="4">
        <f>(E3+F3)/2</f>
        <v/>
      </c>
      <c r="I3" s="5">
        <f>Regresiones!$C$2+Regresiones!$D$2*D3</f>
        <v/>
      </c>
      <c r="J3" s="5">
        <f>E3-I3</f>
        <v/>
      </c>
      <c r="K3" s="5">
        <f>1/COUNT($D$2:$D$48)+(D3-AVERAGE($D$2:$D$48))^2/DEVSQ($D$2:$D$48)</f>
        <v/>
      </c>
      <c r="L3" s="5">
        <f>J3/(Regresiones!$J$2*SQRT(1-K3))</f>
        <v/>
      </c>
      <c r="M3" s="5">
        <f>IF(ABS(L3)&gt;2.5,"Sí","No")</f>
        <v/>
      </c>
      <c r="N3" s="5">
        <f>Regresiones!$C$3+Regresiones!$D$3*D3</f>
        <v/>
      </c>
      <c r="O3" s="5">
        <f>F3-N3</f>
        <v/>
      </c>
      <c r="P3" s="5">
        <f>1/COUNT($D$2:$D$48)+(D3-AVERAGE($D$2:$D$48))^2/DEVSQ($D$2:$D$48)</f>
        <v/>
      </c>
      <c r="Q3" s="5">
        <f>O3/(Regresiones!$J$3*SQRT(1-P3))</f>
        <v/>
      </c>
      <c r="R3" s="5">
        <f>IF(ABS(Q3)&gt;2.5,"Sí","No")</f>
        <v/>
      </c>
      <c r="S3" s="5">
        <f>Regresiones!$C$4+Regresiones!$D$4*D3</f>
        <v/>
      </c>
      <c r="T3" s="5">
        <f>G3-S3</f>
        <v/>
      </c>
      <c r="U3" s="5">
        <f>1/COUNT($D$2:$D$48)+(D3-AVERAGE($D$2:$D$48))^2/DEVSQ($D$2:$D$48)</f>
        <v/>
      </c>
      <c r="V3" s="5">
        <f>T3/(Regresiones!$J$4*SQRT(1-U3))</f>
        <v/>
      </c>
      <c r="W3" s="5">
        <f>IF(ABS(V3)&gt;2.5,"Sí","No")</f>
        <v/>
      </c>
    </row>
    <row r="4">
      <c r="A4" s="4" t="n">
        <v>26115040</v>
      </c>
      <c r="B4" s="4" t="inlineStr">
        <is>
          <t>Cent Admo La Union</t>
        </is>
      </c>
      <c r="C4" s="4" t="inlineStr">
        <is>
          <t>La Union</t>
        </is>
      </c>
      <c r="D4" s="4" t="n">
        <v>920</v>
      </c>
      <c r="E4" s="4" t="n">
        <v>30.62881944444445</v>
      </c>
      <c r="F4" s="4" t="n">
        <v>18.77305555555555</v>
      </c>
      <c r="G4" s="4" t="n">
        <v>24.30416666666666</v>
      </c>
      <c r="H4" s="4">
        <f>(E4+F4)/2</f>
        <v/>
      </c>
      <c r="I4" s="5">
        <f>Regresiones!$C$2+Regresiones!$D$2*D4</f>
        <v/>
      </c>
      <c r="J4" s="5">
        <f>E4-I4</f>
        <v/>
      </c>
      <c r="K4" s="5">
        <f>1/COUNT($D$2:$D$48)+(D4-AVERAGE($D$2:$D$48))^2/DEVSQ($D$2:$D$48)</f>
        <v/>
      </c>
      <c r="L4" s="5">
        <f>J4/(Regresiones!$J$2*SQRT(1-K4))</f>
        <v/>
      </c>
      <c r="M4" s="5">
        <f>IF(ABS(L4)&gt;2.5,"Sí","No")</f>
        <v/>
      </c>
      <c r="N4" s="5">
        <f>Regresiones!$C$3+Regresiones!$D$3*D4</f>
        <v/>
      </c>
      <c r="O4" s="5">
        <f>F4-N4</f>
        <v/>
      </c>
      <c r="P4" s="5">
        <f>1/COUNT($D$2:$D$48)+(D4-AVERAGE($D$2:$D$48))^2/DEVSQ($D$2:$D$48)</f>
        <v/>
      </c>
      <c r="Q4" s="5">
        <f>O4/(Regresiones!$J$3*SQRT(1-P4))</f>
        <v/>
      </c>
      <c r="R4" s="5">
        <f>IF(ABS(Q4)&gt;2.5,"Sí","No")</f>
        <v/>
      </c>
      <c r="S4" s="5">
        <f>Regresiones!$C$4+Regresiones!$D$4*D4</f>
        <v/>
      </c>
      <c r="T4" s="5">
        <f>G4-S4</f>
        <v/>
      </c>
      <c r="U4" s="5">
        <f>1/COUNT($D$2:$D$48)+(D4-AVERAGE($D$2:$D$48))^2/DEVSQ($D$2:$D$48)</f>
        <v/>
      </c>
      <c r="V4" s="5">
        <f>T4/(Regresiones!$J$4*SQRT(1-U4))</f>
        <v/>
      </c>
      <c r="W4" s="5">
        <f>IF(ABS(V4)&gt;2.5,"Sí","No")</f>
        <v/>
      </c>
    </row>
    <row r="5">
      <c r="A5" s="4" t="n">
        <v>26105110</v>
      </c>
      <c r="B5" s="4" t="inlineStr">
        <is>
          <t>Ing Riopaila</t>
        </is>
      </c>
      <c r="C5" s="4" t="inlineStr">
        <is>
          <t>Zarzal</t>
        </is>
      </c>
      <c r="D5" s="4" t="n">
        <v>941</v>
      </c>
      <c r="E5" s="4" t="n">
        <v>31.08146464646464</v>
      </c>
      <c r="F5" s="4" t="n">
        <v>18.32605218855219</v>
      </c>
      <c r="G5" s="4" t="n">
        <v>24.31726866883117</v>
      </c>
      <c r="H5" s="4">
        <f>(E5+F5)/2</f>
        <v/>
      </c>
      <c r="I5" s="5">
        <f>Regresiones!$C$2+Regresiones!$D$2*D5</f>
        <v/>
      </c>
      <c r="J5" s="5">
        <f>E5-I5</f>
        <v/>
      </c>
      <c r="K5" s="5">
        <f>1/COUNT($D$2:$D$48)+(D5-AVERAGE($D$2:$D$48))^2/DEVSQ($D$2:$D$48)</f>
        <v/>
      </c>
      <c r="L5" s="5">
        <f>J5/(Regresiones!$J$2*SQRT(1-K5))</f>
        <v/>
      </c>
      <c r="M5" s="5">
        <f>IF(ABS(L5)&gt;2.5,"Sí","No")</f>
        <v/>
      </c>
      <c r="N5" s="5">
        <f>Regresiones!$C$3+Regresiones!$D$3*D5</f>
        <v/>
      </c>
      <c r="O5" s="5">
        <f>F5-N5</f>
        <v/>
      </c>
      <c r="P5" s="5">
        <f>1/COUNT($D$2:$D$48)+(D5-AVERAGE($D$2:$D$48))^2/DEVSQ($D$2:$D$48)</f>
        <v/>
      </c>
      <c r="Q5" s="5">
        <f>O5/(Regresiones!$J$3*SQRT(1-P5))</f>
        <v/>
      </c>
      <c r="R5" s="5">
        <f>IF(ABS(Q5)&gt;2.5,"Sí","No")</f>
        <v/>
      </c>
      <c r="S5" s="5">
        <f>Regresiones!$C$4+Regresiones!$D$4*D5</f>
        <v/>
      </c>
      <c r="T5" s="5">
        <f>G5-S5</f>
        <v/>
      </c>
      <c r="U5" s="5">
        <f>1/COUNT($D$2:$D$48)+(D5-AVERAGE($D$2:$D$48))^2/DEVSQ($D$2:$D$48)</f>
        <v/>
      </c>
      <c r="V5" s="5">
        <f>T5/(Regresiones!$J$4*SQRT(1-U5))</f>
        <v/>
      </c>
      <c r="W5" s="5">
        <f>IF(ABS(V5)&gt;2.5,"Sí","No")</f>
        <v/>
      </c>
    </row>
    <row r="6">
      <c r="A6" s="4" t="n">
        <v>26085120</v>
      </c>
      <c r="B6" s="4" t="inlineStr">
        <is>
          <t>Base Aerea MFS</t>
        </is>
      </c>
      <c r="C6" s="4" t="inlineStr">
        <is>
          <t>Cali</t>
        </is>
      </c>
      <c r="D6" s="4" t="n">
        <v>954</v>
      </c>
      <c r="E6" s="4" t="n">
        <v>29.95552447552448</v>
      </c>
      <c r="F6" s="4" t="n">
        <v>19.6529452690167</v>
      </c>
      <c r="G6" s="4" t="n">
        <v>25.19436577311577</v>
      </c>
      <c r="H6" s="4">
        <f>(E6+F6)/2</f>
        <v/>
      </c>
      <c r="I6" s="5">
        <f>Regresiones!$C$2+Regresiones!$D$2*D6</f>
        <v/>
      </c>
      <c r="J6" s="5">
        <f>E6-I6</f>
        <v/>
      </c>
      <c r="K6" s="5">
        <f>1/COUNT($D$2:$D$48)+(D6-AVERAGE($D$2:$D$48))^2/DEVSQ($D$2:$D$48)</f>
        <v/>
      </c>
      <c r="L6" s="5">
        <f>J6/(Regresiones!$J$2*SQRT(1-K6))</f>
        <v/>
      </c>
      <c r="M6" s="5">
        <f>IF(ABS(L6)&gt;2.5,"Sí","No")</f>
        <v/>
      </c>
      <c r="N6" s="5">
        <f>Regresiones!$C$3+Regresiones!$D$3*D6</f>
        <v/>
      </c>
      <c r="O6" s="5">
        <f>F6-N6</f>
        <v/>
      </c>
      <c r="P6" s="5">
        <f>1/COUNT($D$2:$D$48)+(D6-AVERAGE($D$2:$D$48))^2/DEVSQ($D$2:$D$48)</f>
        <v/>
      </c>
      <c r="Q6" s="5">
        <f>O6/(Regresiones!$J$3*SQRT(1-P6))</f>
        <v/>
      </c>
      <c r="R6" s="5">
        <f>IF(ABS(Q6)&gt;2.5,"Sí","No")</f>
        <v/>
      </c>
      <c r="S6" s="5">
        <f>Regresiones!$C$4+Regresiones!$D$4*D6</f>
        <v/>
      </c>
      <c r="T6" s="5">
        <f>G6-S6</f>
        <v/>
      </c>
      <c r="U6" s="5">
        <f>1/COUNT($D$2:$D$48)+(D6-AVERAGE($D$2:$D$48))^2/DEVSQ($D$2:$D$48)</f>
        <v/>
      </c>
      <c r="V6" s="5">
        <f>T6/(Regresiones!$J$4*SQRT(1-U6))</f>
        <v/>
      </c>
      <c r="W6" s="5">
        <f>IF(ABS(V6)&gt;2.5,"Sí","No")</f>
        <v/>
      </c>
    </row>
    <row r="7">
      <c r="A7" s="4" t="n">
        <v>26105160</v>
      </c>
      <c r="B7" s="4" t="inlineStr">
        <is>
          <t>Apto Farfan</t>
        </is>
      </c>
      <c r="C7" s="4" t="inlineStr">
        <is>
          <t>Tulua</t>
        </is>
      </c>
      <c r="D7" s="4" t="n">
        <v>955</v>
      </c>
      <c r="E7" s="4" t="n">
        <v>29.91925925925927</v>
      </c>
      <c r="F7" s="4" t="n">
        <v>18.47114718614718</v>
      </c>
      <c r="G7" s="4" t="n">
        <v>23.89102777777778</v>
      </c>
      <c r="H7" s="4">
        <f>(E7+F7)/2</f>
        <v/>
      </c>
      <c r="I7" s="5">
        <f>Regresiones!$C$2+Regresiones!$D$2*D7</f>
        <v/>
      </c>
      <c r="J7" s="5">
        <f>E7-I7</f>
        <v/>
      </c>
      <c r="K7" s="5">
        <f>1/COUNT($D$2:$D$48)+(D7-AVERAGE($D$2:$D$48))^2/DEVSQ($D$2:$D$48)</f>
        <v/>
      </c>
      <c r="L7" s="5">
        <f>J7/(Regresiones!$J$2*SQRT(1-K7))</f>
        <v/>
      </c>
      <c r="M7" s="5">
        <f>IF(ABS(L7)&gt;2.5,"Sí","No")</f>
        <v/>
      </c>
      <c r="N7" s="5">
        <f>Regresiones!$C$3+Regresiones!$D$3*D7</f>
        <v/>
      </c>
      <c r="O7" s="5">
        <f>F7-N7</f>
        <v/>
      </c>
      <c r="P7" s="5">
        <f>1/COUNT($D$2:$D$48)+(D7-AVERAGE($D$2:$D$48))^2/DEVSQ($D$2:$D$48)</f>
        <v/>
      </c>
      <c r="Q7" s="5">
        <f>O7/(Regresiones!$J$3*SQRT(1-P7))</f>
        <v/>
      </c>
      <c r="R7" s="5">
        <f>IF(ABS(Q7)&gt;2.5,"Sí","No")</f>
        <v/>
      </c>
      <c r="S7" s="5">
        <f>Regresiones!$C$4+Regresiones!$D$4*D7</f>
        <v/>
      </c>
      <c r="T7" s="5">
        <f>G7-S7</f>
        <v/>
      </c>
      <c r="U7" s="5">
        <f>1/COUNT($D$2:$D$48)+(D7-AVERAGE($D$2:$D$48))^2/DEVSQ($D$2:$D$48)</f>
        <v/>
      </c>
      <c r="V7" s="5">
        <f>T7/(Regresiones!$J$4*SQRT(1-U7))</f>
        <v/>
      </c>
      <c r="W7" s="5">
        <f>IF(ABS(V7)&gt;2.5,"Sí","No")</f>
        <v/>
      </c>
    </row>
    <row r="8">
      <c r="A8" s="4" t="n">
        <v>26075040</v>
      </c>
      <c r="B8" s="4" t="inlineStr">
        <is>
          <t>Apto A Bonilla</t>
        </is>
      </c>
      <c r="C8" s="4" t="inlineStr">
        <is>
          <t>Palmira</t>
        </is>
      </c>
      <c r="D8" s="4" t="n">
        <v>961</v>
      </c>
      <c r="E8" s="4" t="n">
        <v>29.73944444444444</v>
      </c>
      <c r="F8" s="4" t="n">
        <v>18.88361111111111</v>
      </c>
      <c r="G8" s="4" t="n">
        <v>23.92472222222221</v>
      </c>
      <c r="H8" s="4">
        <f>(E8+F8)/2</f>
        <v/>
      </c>
      <c r="I8" s="5">
        <f>Regresiones!$C$2+Regresiones!$D$2*D8</f>
        <v/>
      </c>
      <c r="J8" s="5">
        <f>E8-I8</f>
        <v/>
      </c>
      <c r="K8" s="5">
        <f>1/COUNT($D$2:$D$48)+(D8-AVERAGE($D$2:$D$48))^2/DEVSQ($D$2:$D$48)</f>
        <v/>
      </c>
      <c r="L8" s="5">
        <f>J8/(Regresiones!$J$2*SQRT(1-K8))</f>
        <v/>
      </c>
      <c r="M8" s="5">
        <f>IF(ABS(L8)&gt;2.5,"Sí","No")</f>
        <v/>
      </c>
      <c r="N8" s="5">
        <f>Regresiones!$C$3+Regresiones!$D$3*D8</f>
        <v/>
      </c>
      <c r="O8" s="5">
        <f>F8-N8</f>
        <v/>
      </c>
      <c r="P8" s="5">
        <f>1/COUNT($D$2:$D$48)+(D8-AVERAGE($D$2:$D$48))^2/DEVSQ($D$2:$D$48)</f>
        <v/>
      </c>
      <c r="Q8" s="5">
        <f>O8/(Regresiones!$J$3*SQRT(1-P8))</f>
        <v/>
      </c>
      <c r="R8" s="5">
        <f>IF(ABS(Q8)&gt;2.5,"Sí","No")</f>
        <v/>
      </c>
      <c r="S8" s="5">
        <f>Regresiones!$C$4+Regresiones!$D$4*D8</f>
        <v/>
      </c>
      <c r="T8" s="5">
        <f>G8-S8</f>
        <v/>
      </c>
      <c r="U8" s="5">
        <f>1/COUNT($D$2:$D$48)+(D8-AVERAGE($D$2:$D$48))^2/DEVSQ($D$2:$D$48)</f>
        <v/>
      </c>
      <c r="V8" s="5">
        <f>T8/(Regresiones!$J$4*SQRT(1-U8))</f>
        <v/>
      </c>
      <c r="W8" s="5">
        <f>IF(ABS(V8)&gt;2.5,"Sí","No")</f>
        <v/>
      </c>
    </row>
    <row r="9">
      <c r="A9" s="4" t="n">
        <v>26135100</v>
      </c>
      <c r="B9" s="4" t="inlineStr">
        <is>
          <t>Bohemia La</t>
        </is>
      </c>
      <c r="C9" s="4" t="inlineStr">
        <is>
          <t>Pereira</t>
        </is>
      </c>
      <c r="D9" s="4" t="n">
        <v>970</v>
      </c>
      <c r="E9" s="4" t="n">
        <v>30.08357575757575</v>
      </c>
      <c r="F9" s="4" t="n">
        <v>19.09416666666666</v>
      </c>
      <c r="G9" s="4" t="n">
        <v>23.92247474747475</v>
      </c>
      <c r="H9" s="4">
        <f>(E9+F9)/2</f>
        <v/>
      </c>
      <c r="I9" s="5">
        <f>Regresiones!$C$2+Regresiones!$D$2*D9</f>
        <v/>
      </c>
      <c r="J9" s="5">
        <f>E9-I9</f>
        <v/>
      </c>
      <c r="K9" s="5">
        <f>1/COUNT($D$2:$D$48)+(D9-AVERAGE($D$2:$D$48))^2/DEVSQ($D$2:$D$48)</f>
        <v/>
      </c>
      <c r="L9" s="5">
        <f>J9/(Regresiones!$J$2*SQRT(1-K9))</f>
        <v/>
      </c>
      <c r="M9" s="5">
        <f>IF(ABS(L9)&gt;2.5,"Sí","No")</f>
        <v/>
      </c>
      <c r="N9" s="5">
        <f>Regresiones!$C$3+Regresiones!$D$3*D9</f>
        <v/>
      </c>
      <c r="O9" s="5">
        <f>F9-N9</f>
        <v/>
      </c>
      <c r="P9" s="5">
        <f>1/COUNT($D$2:$D$48)+(D9-AVERAGE($D$2:$D$48))^2/DEVSQ($D$2:$D$48)</f>
        <v/>
      </c>
      <c r="Q9" s="5">
        <f>O9/(Regresiones!$J$3*SQRT(1-P9))</f>
        <v/>
      </c>
      <c r="R9" s="5">
        <f>IF(ABS(Q9)&gt;2.5,"Sí","No")</f>
        <v/>
      </c>
      <c r="S9" s="5">
        <f>Regresiones!$C$4+Regresiones!$D$4*D9</f>
        <v/>
      </c>
      <c r="T9" s="5">
        <f>G9-S9</f>
        <v/>
      </c>
      <c r="U9" s="5">
        <f>1/COUNT($D$2:$D$48)+(D9-AVERAGE($D$2:$D$48))^2/DEVSQ($D$2:$D$48)</f>
        <v/>
      </c>
      <c r="V9" s="5">
        <f>T9/(Regresiones!$J$4*SQRT(1-U9))</f>
        <v/>
      </c>
      <c r="W9" s="5">
        <f>IF(ABS(V9)&gt;2.5,"Sí","No")</f>
        <v/>
      </c>
    </row>
    <row r="10">
      <c r="A10" s="4" t="n">
        <v>26095230</v>
      </c>
      <c r="B10" s="4" t="inlineStr">
        <is>
          <t>Vinculo El</t>
        </is>
      </c>
      <c r="C10" s="4" t="inlineStr">
        <is>
          <t>Guadalajara de Buga</t>
        </is>
      </c>
      <c r="D10" s="4" t="n">
        <v>979</v>
      </c>
      <c r="E10" s="4" t="n">
        <v>29.86401257472686</v>
      </c>
      <c r="F10" s="4" t="n">
        <v>18.80381944444444</v>
      </c>
      <c r="G10" s="4" t="n">
        <v>23.59113355780023</v>
      </c>
      <c r="H10" s="4">
        <f>(E10+F10)/2</f>
        <v/>
      </c>
      <c r="I10" s="5">
        <f>Regresiones!$C$2+Regresiones!$D$2*D10</f>
        <v/>
      </c>
      <c r="J10" s="5">
        <f>E10-I10</f>
        <v/>
      </c>
      <c r="K10" s="5">
        <f>1/COUNT($D$2:$D$48)+(D10-AVERAGE($D$2:$D$48))^2/DEVSQ($D$2:$D$48)</f>
        <v/>
      </c>
      <c r="L10" s="5">
        <f>J10/(Regresiones!$J$2*SQRT(1-K10))</f>
        <v/>
      </c>
      <c r="M10" s="5">
        <f>IF(ABS(L10)&gt;2.5,"Sí","No")</f>
        <v/>
      </c>
      <c r="N10" s="5">
        <f>Regresiones!$C$3+Regresiones!$D$3*D10</f>
        <v/>
      </c>
      <c r="O10" s="5">
        <f>F10-N10</f>
        <v/>
      </c>
      <c r="P10" s="5">
        <f>1/COUNT($D$2:$D$48)+(D10-AVERAGE($D$2:$D$48))^2/DEVSQ($D$2:$D$48)</f>
        <v/>
      </c>
      <c r="Q10" s="5">
        <f>O10/(Regresiones!$J$3*SQRT(1-P10))</f>
        <v/>
      </c>
      <c r="R10" s="5">
        <f>IF(ABS(Q10)&gt;2.5,"Sí","No")</f>
        <v/>
      </c>
      <c r="S10" s="5">
        <f>Regresiones!$C$4+Regresiones!$D$4*D10</f>
        <v/>
      </c>
      <c r="T10" s="5">
        <f>G10-S10</f>
        <v/>
      </c>
      <c r="U10" s="5">
        <f>1/COUNT($D$2:$D$48)+(D10-AVERAGE($D$2:$D$48))^2/DEVSQ($D$2:$D$48)</f>
        <v/>
      </c>
      <c r="V10" s="5">
        <f>T10/(Regresiones!$J$4*SQRT(1-U10))</f>
        <v/>
      </c>
      <c r="W10" s="5">
        <f>IF(ABS(V10)&gt;2.5,"Sí","No")</f>
        <v/>
      </c>
    </row>
    <row r="11">
      <c r="A11" s="4" t="n">
        <v>26055070</v>
      </c>
      <c r="B11" s="4" t="inlineStr">
        <is>
          <t>Univ del Valle</t>
        </is>
      </c>
      <c r="C11" s="4" t="inlineStr">
        <is>
          <t>Cali</t>
        </is>
      </c>
      <c r="D11" s="4" t="n">
        <v>985</v>
      </c>
      <c r="E11" s="4" t="n">
        <v>29.88555555555556</v>
      </c>
      <c r="F11" s="4" t="n">
        <v>19.23611111111111</v>
      </c>
      <c r="G11" s="4" t="n">
        <v>24.47588383838383</v>
      </c>
      <c r="H11" s="4">
        <f>(E11+F11)/2</f>
        <v/>
      </c>
      <c r="I11" s="5">
        <f>Regresiones!$C$2+Regresiones!$D$2*D11</f>
        <v/>
      </c>
      <c r="J11" s="5">
        <f>E11-I11</f>
        <v/>
      </c>
      <c r="K11" s="5">
        <f>1/COUNT($D$2:$D$48)+(D11-AVERAGE($D$2:$D$48))^2/DEVSQ($D$2:$D$48)</f>
        <v/>
      </c>
      <c r="L11" s="5">
        <f>J11/(Regresiones!$J$2*SQRT(1-K11))</f>
        <v/>
      </c>
      <c r="M11" s="5">
        <f>IF(ABS(L11)&gt;2.5,"Sí","No")</f>
        <v/>
      </c>
      <c r="N11" s="5">
        <f>Regresiones!$C$3+Regresiones!$D$3*D11</f>
        <v/>
      </c>
      <c r="O11" s="5">
        <f>F11-N11</f>
        <v/>
      </c>
      <c r="P11" s="5">
        <f>1/COUNT($D$2:$D$48)+(D11-AVERAGE($D$2:$D$48))^2/DEVSQ($D$2:$D$48)</f>
        <v/>
      </c>
      <c r="Q11" s="5">
        <f>O11/(Regresiones!$J$3*SQRT(1-P11))</f>
        <v/>
      </c>
      <c r="R11" s="5">
        <f>IF(ABS(Q11)&gt;2.5,"Sí","No")</f>
        <v/>
      </c>
      <c r="S11" s="5">
        <f>Regresiones!$C$4+Regresiones!$D$4*D11</f>
        <v/>
      </c>
      <c r="T11" s="5">
        <f>G11-S11</f>
        <v/>
      </c>
      <c r="U11" s="5">
        <f>1/COUNT($D$2:$D$48)+(D11-AVERAGE($D$2:$D$48))^2/DEVSQ($D$2:$D$48)</f>
        <v/>
      </c>
      <c r="V11" s="5">
        <f>T11/(Regresiones!$J$4*SQRT(1-U11))</f>
        <v/>
      </c>
      <c r="W11" s="5">
        <f>IF(ABS(V11)&gt;2.5,"Sí","No")</f>
        <v/>
      </c>
    </row>
    <row r="12">
      <c r="A12" s="4" t="n">
        <v>26065010</v>
      </c>
      <c r="B12" s="4" t="inlineStr">
        <is>
          <t>Ing Cauca</t>
        </is>
      </c>
      <c r="C12" s="4" t="inlineStr">
        <is>
          <t>Miranda</t>
        </is>
      </c>
      <c r="D12" s="4" t="n">
        <v>1000</v>
      </c>
      <c r="E12" s="4" t="n">
        <v>29.77207341269841</v>
      </c>
      <c r="F12" s="4" t="n">
        <v>18.55328907203907</v>
      </c>
      <c r="G12" s="4" t="n">
        <v>23.46965404040403</v>
      </c>
      <c r="H12" s="4">
        <f>(E12+F12)/2</f>
        <v/>
      </c>
      <c r="I12" s="5">
        <f>Regresiones!$C$2+Regresiones!$D$2*D12</f>
        <v/>
      </c>
      <c r="J12" s="5">
        <f>E12-I12</f>
        <v/>
      </c>
      <c r="K12" s="5">
        <f>1/COUNT($D$2:$D$48)+(D12-AVERAGE($D$2:$D$48))^2/DEVSQ($D$2:$D$48)</f>
        <v/>
      </c>
      <c r="L12" s="5">
        <f>J12/(Regresiones!$J$2*SQRT(1-K12))</f>
        <v/>
      </c>
      <c r="M12" s="5">
        <f>IF(ABS(L12)&gt;2.5,"Sí","No")</f>
        <v/>
      </c>
      <c r="N12" s="5">
        <f>Regresiones!$C$3+Regresiones!$D$3*D12</f>
        <v/>
      </c>
      <c r="O12" s="5">
        <f>F12-N12</f>
        <v/>
      </c>
      <c r="P12" s="5">
        <f>1/COUNT($D$2:$D$48)+(D12-AVERAGE($D$2:$D$48))^2/DEVSQ($D$2:$D$48)</f>
        <v/>
      </c>
      <c r="Q12" s="5">
        <f>O12/(Regresiones!$J$3*SQRT(1-P12))</f>
        <v/>
      </c>
      <c r="R12" s="5">
        <f>IF(ABS(Q12)&gt;2.5,"Sí","No")</f>
        <v/>
      </c>
      <c r="S12" s="5">
        <f>Regresiones!$C$4+Regresiones!$D$4*D12</f>
        <v/>
      </c>
      <c r="T12" s="5">
        <f>G12-S12</f>
        <v/>
      </c>
      <c r="U12" s="5">
        <f>1/COUNT($D$2:$D$48)+(D12-AVERAGE($D$2:$D$48))^2/DEVSQ($D$2:$D$48)</f>
        <v/>
      </c>
      <c r="V12" s="5">
        <f>T12/(Regresiones!$J$4*SQRT(1-U12))</f>
        <v/>
      </c>
      <c r="W12" s="5">
        <f>IF(ABS(V12)&gt;2.5,"Sí","No")</f>
        <v/>
      </c>
    </row>
    <row r="13">
      <c r="A13" s="4" t="n">
        <v>26045010</v>
      </c>
      <c r="B13" s="4" t="inlineStr">
        <is>
          <t>Ing Bengala</t>
        </is>
      </c>
      <c r="C13" s="4" t="inlineStr">
        <is>
          <t>Puerto Tejada</t>
        </is>
      </c>
      <c r="D13" s="4" t="n">
        <v>1000</v>
      </c>
      <c r="E13" s="4" t="n">
        <v>29.89183135704875</v>
      </c>
      <c r="F13" s="4" t="n">
        <v>17.92438811188811</v>
      </c>
      <c r="G13" s="4" t="n">
        <v>24.03422619047618</v>
      </c>
      <c r="H13" s="4">
        <f>(E13+F13)/2</f>
        <v/>
      </c>
      <c r="I13" s="5">
        <f>Regresiones!$C$2+Regresiones!$D$2*D13</f>
        <v/>
      </c>
      <c r="J13" s="5">
        <f>E13-I13</f>
        <v/>
      </c>
      <c r="K13" s="5">
        <f>1/COUNT($D$2:$D$48)+(D13-AVERAGE($D$2:$D$48))^2/DEVSQ($D$2:$D$48)</f>
        <v/>
      </c>
      <c r="L13" s="5">
        <f>J13/(Regresiones!$J$2*SQRT(1-K13))</f>
        <v/>
      </c>
      <c r="M13" s="5">
        <f>IF(ABS(L13)&gt;2.5,"Sí","No")</f>
        <v/>
      </c>
      <c r="N13" s="5">
        <f>Regresiones!$C$3+Regresiones!$D$3*D13</f>
        <v/>
      </c>
      <c r="O13" s="5">
        <f>F13-N13</f>
        <v/>
      </c>
      <c r="P13" s="5">
        <f>1/COUNT($D$2:$D$48)+(D13-AVERAGE($D$2:$D$48))^2/DEVSQ($D$2:$D$48)</f>
        <v/>
      </c>
      <c r="Q13" s="5">
        <f>O13/(Regresiones!$J$3*SQRT(1-P13))</f>
        <v/>
      </c>
      <c r="R13" s="5">
        <f>IF(ABS(Q13)&gt;2.5,"Sí","No")</f>
        <v/>
      </c>
      <c r="S13" s="5">
        <f>Regresiones!$C$4+Regresiones!$D$4*D13</f>
        <v/>
      </c>
      <c r="T13" s="5">
        <f>G13-S13</f>
        <v/>
      </c>
      <c r="U13" s="5">
        <f>1/COUNT($D$2:$D$48)+(D13-AVERAGE($D$2:$D$48))^2/DEVSQ($D$2:$D$48)</f>
        <v/>
      </c>
      <c r="V13" s="5">
        <f>T13/(Regresiones!$J$4*SQRT(1-U13))</f>
        <v/>
      </c>
      <c r="W13" s="5">
        <f>IF(ABS(V13)&gt;2.5,"Sí","No")</f>
        <v/>
      </c>
    </row>
    <row r="14">
      <c r="A14" s="4" t="n">
        <v>26105150</v>
      </c>
      <c r="B14" s="4" t="inlineStr">
        <is>
          <t>San Marcos</t>
        </is>
      </c>
      <c r="C14" s="4" t="inlineStr">
        <is>
          <t>Bugalagrande</t>
        </is>
      </c>
      <c r="D14" s="4" t="n">
        <v>1002</v>
      </c>
      <c r="E14" s="4" t="n">
        <v>29.36364801864802</v>
      </c>
      <c r="F14" s="4" t="n">
        <v>17.50416666666667</v>
      </c>
      <c r="G14" s="4" t="n">
        <v>23.28805555555556</v>
      </c>
      <c r="H14" s="4">
        <f>(E14+F14)/2</f>
        <v/>
      </c>
      <c r="I14" s="5">
        <f>Regresiones!$C$2+Regresiones!$D$2*D14</f>
        <v/>
      </c>
      <c r="J14" s="5">
        <f>E14-I14</f>
        <v/>
      </c>
      <c r="K14" s="5">
        <f>1/COUNT($D$2:$D$48)+(D14-AVERAGE($D$2:$D$48))^2/DEVSQ($D$2:$D$48)</f>
        <v/>
      </c>
      <c r="L14" s="5">
        <f>J14/(Regresiones!$J$2*SQRT(1-K14))</f>
        <v/>
      </c>
      <c r="M14" s="5">
        <f>IF(ABS(L14)&gt;2.5,"Sí","No")</f>
        <v/>
      </c>
      <c r="N14" s="5">
        <f>Regresiones!$C$3+Regresiones!$D$3*D14</f>
        <v/>
      </c>
      <c r="O14" s="5">
        <f>F14-N14</f>
        <v/>
      </c>
      <c r="P14" s="5">
        <f>1/COUNT($D$2:$D$48)+(D14-AVERAGE($D$2:$D$48))^2/DEVSQ($D$2:$D$48)</f>
        <v/>
      </c>
      <c r="Q14" s="5">
        <f>O14/(Regresiones!$J$3*SQRT(1-P14))</f>
        <v/>
      </c>
      <c r="R14" s="5">
        <f>IF(ABS(Q14)&gt;2.5,"Sí","No")</f>
        <v/>
      </c>
      <c r="S14" s="5">
        <f>Regresiones!$C$4+Regresiones!$D$4*D14</f>
        <v/>
      </c>
      <c r="T14" s="5">
        <f>G14-S14</f>
        <v/>
      </c>
      <c r="U14" s="5">
        <f>1/COUNT($D$2:$D$48)+(D14-AVERAGE($D$2:$D$48))^2/DEVSQ($D$2:$D$48)</f>
        <v/>
      </c>
      <c r="V14" s="5">
        <f>T14/(Regresiones!$J$4*SQRT(1-U14))</f>
        <v/>
      </c>
      <c r="W14" s="5">
        <f>IF(ABS(V14)&gt;2.5,"Sí","No")</f>
        <v/>
      </c>
    </row>
    <row r="15">
      <c r="A15" s="4" t="n">
        <v>26075080</v>
      </c>
      <c r="B15" s="4" t="inlineStr">
        <is>
          <t>Cenicana</t>
        </is>
      </c>
      <c r="C15" s="4" t="inlineStr">
        <is>
          <t>Florida</t>
        </is>
      </c>
      <c r="D15" s="4" t="n">
        <v>1013</v>
      </c>
      <c r="E15" s="4" t="n">
        <v>29.48442234848484</v>
      </c>
      <c r="F15" s="4" t="n">
        <v>18.6919696969697</v>
      </c>
      <c r="G15" s="4" t="n">
        <v>23.56318181818182</v>
      </c>
      <c r="H15" s="4">
        <f>(E15+F15)/2</f>
        <v/>
      </c>
      <c r="I15" s="5">
        <f>Regresiones!$C$2+Regresiones!$D$2*D15</f>
        <v/>
      </c>
      <c r="J15" s="5">
        <f>E15-I15</f>
        <v/>
      </c>
      <c r="K15" s="5">
        <f>1/COUNT($D$2:$D$48)+(D15-AVERAGE($D$2:$D$48))^2/DEVSQ($D$2:$D$48)</f>
        <v/>
      </c>
      <c r="L15" s="5">
        <f>J15/(Regresiones!$J$2*SQRT(1-K15))</f>
        <v/>
      </c>
      <c r="M15" s="5">
        <f>IF(ABS(L15)&gt;2.5,"Sí","No")</f>
        <v/>
      </c>
      <c r="N15" s="5">
        <f>Regresiones!$C$3+Regresiones!$D$3*D15</f>
        <v/>
      </c>
      <c r="O15" s="5">
        <f>F15-N15</f>
        <v/>
      </c>
      <c r="P15" s="5">
        <f>1/COUNT($D$2:$D$48)+(D15-AVERAGE($D$2:$D$48))^2/DEVSQ($D$2:$D$48)</f>
        <v/>
      </c>
      <c r="Q15" s="5">
        <f>O15/(Regresiones!$J$3*SQRT(1-P15))</f>
        <v/>
      </c>
      <c r="R15" s="5">
        <f>IF(ABS(Q15)&gt;2.5,"Sí","No")</f>
        <v/>
      </c>
      <c r="S15" s="5">
        <f>Regresiones!$C$4+Regresiones!$D$4*D15</f>
        <v/>
      </c>
      <c r="T15" s="5">
        <f>G15-S15</f>
        <v/>
      </c>
      <c r="U15" s="5">
        <f>1/COUNT($D$2:$D$48)+(D15-AVERAGE($D$2:$D$48))^2/DEVSQ($D$2:$D$48)</f>
        <v/>
      </c>
      <c r="V15" s="5">
        <f>T15/(Regresiones!$J$4*SQRT(1-U15))</f>
        <v/>
      </c>
      <c r="W15" s="5">
        <f>IF(ABS(V15)&gt;2.5,"Sí","No")</f>
        <v/>
      </c>
    </row>
    <row r="16">
      <c r="A16" s="4" t="n">
        <v>26025030</v>
      </c>
      <c r="B16" s="4" t="inlineStr">
        <is>
          <t>Japio</t>
        </is>
      </c>
      <c r="C16" s="4" t="inlineStr">
        <is>
          <t>Santander de Quilichao</t>
        </is>
      </c>
      <c r="D16" s="4" t="n">
        <v>1015</v>
      </c>
      <c r="E16" s="4" t="n">
        <v>29.02901234567901</v>
      </c>
      <c r="F16" s="4" t="n">
        <v>18.34958333333333</v>
      </c>
      <c r="G16" s="4" t="n">
        <v>23.55079365079366</v>
      </c>
      <c r="H16" s="4">
        <f>(E16+F16)/2</f>
        <v/>
      </c>
      <c r="I16" s="5">
        <f>Regresiones!$C$2+Regresiones!$D$2*D16</f>
        <v/>
      </c>
      <c r="J16" s="5">
        <f>E16-I16</f>
        <v/>
      </c>
      <c r="K16" s="5">
        <f>1/COUNT($D$2:$D$48)+(D16-AVERAGE($D$2:$D$48))^2/DEVSQ($D$2:$D$48)</f>
        <v/>
      </c>
      <c r="L16" s="5">
        <f>J16/(Regresiones!$J$2*SQRT(1-K16))</f>
        <v/>
      </c>
      <c r="M16" s="5">
        <f>IF(ABS(L16)&gt;2.5,"Sí","No")</f>
        <v/>
      </c>
      <c r="N16" s="5">
        <f>Regresiones!$C$3+Regresiones!$D$3*D16</f>
        <v/>
      </c>
      <c r="O16" s="5">
        <f>F16-N16</f>
        <v/>
      </c>
      <c r="P16" s="5">
        <f>1/COUNT($D$2:$D$48)+(D16-AVERAGE($D$2:$D$48))^2/DEVSQ($D$2:$D$48)</f>
        <v/>
      </c>
      <c r="Q16" s="5">
        <f>O16/(Regresiones!$J$3*SQRT(1-P16))</f>
        <v/>
      </c>
      <c r="R16" s="5">
        <f>IF(ABS(Q16)&gt;2.5,"Sí","No")</f>
        <v/>
      </c>
      <c r="S16" s="5">
        <f>Regresiones!$C$4+Regresiones!$D$4*D16</f>
        <v/>
      </c>
      <c r="T16" s="5">
        <f>G16-S16</f>
        <v/>
      </c>
      <c r="U16" s="5">
        <f>1/COUNT($D$2:$D$48)+(D16-AVERAGE($D$2:$D$48))^2/DEVSQ($D$2:$D$48)</f>
        <v/>
      </c>
      <c r="V16" s="5">
        <f>T16/(Regresiones!$J$4*SQRT(1-U16))</f>
        <v/>
      </c>
      <c r="W16" s="5">
        <f>IF(ABS(V16)&gt;2.5,"Sí","No")</f>
        <v/>
      </c>
    </row>
    <row r="17">
      <c r="A17" s="4" t="n">
        <v>26105230</v>
      </c>
      <c r="B17" s="4" t="inlineStr">
        <is>
          <t>Mateguadua</t>
        </is>
      </c>
      <c r="C17" s="4" t="inlineStr">
        <is>
          <t>Tulua</t>
        </is>
      </c>
      <c r="D17" s="4" t="n">
        <v>1025</v>
      </c>
      <c r="E17" s="4" t="n">
        <v>29.49711538461538</v>
      </c>
      <c r="F17" s="4" t="n">
        <v>17.4320987654321</v>
      </c>
      <c r="G17" s="4" t="n">
        <v>22.59768518518519</v>
      </c>
      <c r="H17" s="4">
        <f>(E17+F17)/2</f>
        <v/>
      </c>
      <c r="I17" s="5">
        <f>Regresiones!$C$2+Regresiones!$D$2*D17</f>
        <v/>
      </c>
      <c r="J17" s="5">
        <f>E17-I17</f>
        <v/>
      </c>
      <c r="K17" s="5">
        <f>1/COUNT($D$2:$D$48)+(D17-AVERAGE($D$2:$D$48))^2/DEVSQ($D$2:$D$48)</f>
        <v/>
      </c>
      <c r="L17" s="5">
        <f>J17/(Regresiones!$J$2*SQRT(1-K17))</f>
        <v/>
      </c>
      <c r="M17" s="5">
        <f>IF(ABS(L17)&gt;2.5,"Sí","No")</f>
        <v/>
      </c>
      <c r="N17" s="5">
        <f>Regresiones!$C$3+Regresiones!$D$3*D17</f>
        <v/>
      </c>
      <c r="O17" s="5">
        <f>F17-N17</f>
        <v/>
      </c>
      <c r="P17" s="5">
        <f>1/COUNT($D$2:$D$48)+(D17-AVERAGE($D$2:$D$48))^2/DEVSQ($D$2:$D$48)</f>
        <v/>
      </c>
      <c r="Q17" s="5">
        <f>O17/(Regresiones!$J$3*SQRT(1-P17))</f>
        <v/>
      </c>
      <c r="R17" s="5">
        <f>IF(ABS(Q17)&gt;2.5,"Sí","No")</f>
        <v/>
      </c>
      <c r="S17" s="5">
        <f>Regresiones!$C$4+Regresiones!$D$4*D17</f>
        <v/>
      </c>
      <c r="T17" s="5">
        <f>G17-S17</f>
        <v/>
      </c>
      <c r="U17" s="5">
        <f>1/COUNT($D$2:$D$48)+(D17-AVERAGE($D$2:$D$48))^2/DEVSQ($D$2:$D$48)</f>
        <v/>
      </c>
      <c r="V17" s="5">
        <f>T17/(Regresiones!$J$4*SQRT(1-U17))</f>
        <v/>
      </c>
      <c r="W17" s="5">
        <f>IF(ABS(V17)&gt;2.5,"Sí","No")</f>
        <v/>
      </c>
    </row>
    <row r="18">
      <c r="A18" s="4" t="n">
        <v>26075010</v>
      </c>
      <c r="B18" s="4" t="inlineStr">
        <is>
          <t>Palmira Ica</t>
        </is>
      </c>
      <c r="C18" s="4" t="inlineStr">
        <is>
          <t>Palmira</t>
        </is>
      </c>
      <c r="D18" s="4" t="n">
        <v>1050</v>
      </c>
      <c r="E18" s="4" t="n">
        <v>29.41818181818181</v>
      </c>
      <c r="F18" s="4" t="n">
        <v>19.13787878787879</v>
      </c>
      <c r="G18" s="4" t="n">
        <v>23.61198347107438</v>
      </c>
      <c r="H18" s="4">
        <f>(E18+F18)/2</f>
        <v/>
      </c>
      <c r="I18" s="5">
        <f>Regresiones!$C$2+Regresiones!$D$2*D18</f>
        <v/>
      </c>
      <c r="J18" s="5">
        <f>E18-I18</f>
        <v/>
      </c>
      <c r="K18" s="5">
        <f>1/COUNT($D$2:$D$48)+(D18-AVERAGE($D$2:$D$48))^2/DEVSQ($D$2:$D$48)</f>
        <v/>
      </c>
      <c r="L18" s="5">
        <f>J18/(Regresiones!$J$2*SQRT(1-K18))</f>
        <v/>
      </c>
      <c r="M18" s="5">
        <f>IF(ABS(L18)&gt;2.5,"Sí","No")</f>
        <v/>
      </c>
      <c r="N18" s="5">
        <f>Regresiones!$C$3+Regresiones!$D$3*D18</f>
        <v/>
      </c>
      <c r="O18" s="5">
        <f>F18-N18</f>
        <v/>
      </c>
      <c r="P18" s="5">
        <f>1/COUNT($D$2:$D$48)+(D18-AVERAGE($D$2:$D$48))^2/DEVSQ($D$2:$D$48)</f>
        <v/>
      </c>
      <c r="Q18" s="5">
        <f>O18/(Regresiones!$J$3*SQRT(1-P18))</f>
        <v/>
      </c>
      <c r="R18" s="5">
        <f>IF(ABS(Q18)&gt;2.5,"Sí","No")</f>
        <v/>
      </c>
      <c r="S18" s="5">
        <f>Regresiones!$C$4+Regresiones!$D$4*D18</f>
        <v/>
      </c>
      <c r="T18" s="5">
        <f>G18-S18</f>
        <v/>
      </c>
      <c r="U18" s="5">
        <f>1/COUNT($D$2:$D$48)+(D18-AVERAGE($D$2:$D$48))^2/DEVSQ($D$2:$D$48)</f>
        <v/>
      </c>
      <c r="V18" s="5">
        <f>T18/(Regresiones!$J$4*SQRT(1-U18))</f>
        <v/>
      </c>
      <c r="W18" s="5">
        <f>IF(ABS(V18)&gt;2.5,"Sí","No")</f>
        <v/>
      </c>
    </row>
    <row r="19">
      <c r="A19" s="4" t="n">
        <v>26065020</v>
      </c>
      <c r="B19" s="4" t="inlineStr">
        <is>
          <t>Miranda</t>
        </is>
      </c>
      <c r="C19" s="4" t="inlineStr">
        <is>
          <t>Miranda</t>
        </is>
      </c>
      <c r="D19" s="4" t="n">
        <v>1128</v>
      </c>
      <c r="E19" s="4" t="n">
        <v>29.17622811970638</v>
      </c>
      <c r="F19" s="4" t="n">
        <v>18.13833333333333</v>
      </c>
      <c r="G19" s="4" t="n">
        <v>23.48159090909091</v>
      </c>
      <c r="H19" s="4">
        <f>(E19+F19)/2</f>
        <v/>
      </c>
      <c r="I19" s="5">
        <f>Regresiones!$C$2+Regresiones!$D$2*D19</f>
        <v/>
      </c>
      <c r="J19" s="5">
        <f>E19-I19</f>
        <v/>
      </c>
      <c r="K19" s="5">
        <f>1/COUNT($D$2:$D$48)+(D19-AVERAGE($D$2:$D$48))^2/DEVSQ($D$2:$D$48)</f>
        <v/>
      </c>
      <c r="L19" s="5">
        <f>J19/(Regresiones!$J$2*SQRT(1-K19))</f>
        <v/>
      </c>
      <c r="M19" s="5">
        <f>IF(ABS(L19)&gt;2.5,"Sí","No")</f>
        <v/>
      </c>
      <c r="N19" s="5">
        <f>Regresiones!$C$3+Regresiones!$D$3*D19</f>
        <v/>
      </c>
      <c r="O19" s="5">
        <f>F19-N19</f>
        <v/>
      </c>
      <c r="P19" s="5">
        <f>1/COUNT($D$2:$D$48)+(D19-AVERAGE($D$2:$D$48))^2/DEVSQ($D$2:$D$48)</f>
        <v/>
      </c>
      <c r="Q19" s="5">
        <f>O19/(Regresiones!$J$3*SQRT(1-P19))</f>
        <v/>
      </c>
      <c r="R19" s="5">
        <f>IF(ABS(Q19)&gt;2.5,"Sí","No")</f>
        <v/>
      </c>
      <c r="S19" s="5">
        <f>Regresiones!$C$4+Regresiones!$D$4*D19</f>
        <v/>
      </c>
      <c r="T19" s="5">
        <f>G19-S19</f>
        <v/>
      </c>
      <c r="U19" s="5">
        <f>1/COUNT($D$2:$D$48)+(D19-AVERAGE($D$2:$D$48))^2/DEVSQ($D$2:$D$48)</f>
        <v/>
      </c>
      <c r="V19" s="5">
        <f>T19/(Regresiones!$J$4*SQRT(1-U19))</f>
        <v/>
      </c>
      <c r="W19" s="5">
        <f>IF(ABS(V19)&gt;2.5,"Sí","No")</f>
        <v/>
      </c>
    </row>
    <row r="20">
      <c r="A20" s="4" t="n">
        <v>26175030</v>
      </c>
      <c r="B20" s="4" t="inlineStr">
        <is>
          <t>Nacional Gja La</t>
        </is>
      </c>
      <c r="C20" s="4" t="inlineStr">
        <is>
          <t>Tamesis</t>
        </is>
      </c>
      <c r="D20" s="4" t="n">
        <v>1151</v>
      </c>
      <c r="E20" s="4" t="n">
        <v>27.60140692640692</v>
      </c>
      <c r="F20" s="4" t="n">
        <v>18.4908303030303</v>
      </c>
      <c r="G20" s="4" t="n">
        <v>22.61379310344828</v>
      </c>
      <c r="H20" s="4">
        <f>(E20+F20)/2</f>
        <v/>
      </c>
      <c r="I20" s="5">
        <f>Regresiones!$C$2+Regresiones!$D$2*D20</f>
        <v/>
      </c>
      <c r="J20" s="5">
        <f>E20-I20</f>
        <v/>
      </c>
      <c r="K20" s="5">
        <f>1/COUNT($D$2:$D$48)+(D20-AVERAGE($D$2:$D$48))^2/DEVSQ($D$2:$D$48)</f>
        <v/>
      </c>
      <c r="L20" s="5">
        <f>J20/(Regresiones!$J$2*SQRT(1-K20))</f>
        <v/>
      </c>
      <c r="M20" s="5">
        <f>IF(ABS(L20)&gt;2.5,"Sí","No")</f>
        <v/>
      </c>
      <c r="N20" s="5">
        <f>Regresiones!$C$3+Regresiones!$D$3*D20</f>
        <v/>
      </c>
      <c r="O20" s="5">
        <f>F20-N20</f>
        <v/>
      </c>
      <c r="P20" s="5">
        <f>1/COUNT($D$2:$D$48)+(D20-AVERAGE($D$2:$D$48))^2/DEVSQ($D$2:$D$48)</f>
        <v/>
      </c>
      <c r="Q20" s="5">
        <f>O20/(Regresiones!$J$3*SQRT(1-P20))</f>
        <v/>
      </c>
      <c r="R20" s="5">
        <f>IF(ABS(Q20)&gt;2.5,"Sí","No")</f>
        <v/>
      </c>
      <c r="S20" s="5">
        <f>Regresiones!$C$4+Regresiones!$D$4*D20</f>
        <v/>
      </c>
      <c r="T20" s="5">
        <f>G20-S20</f>
        <v/>
      </c>
      <c r="U20" s="5">
        <f>1/COUNT($D$2:$D$48)+(D20-AVERAGE($D$2:$D$48))^2/DEVSQ($D$2:$D$48)</f>
        <v/>
      </c>
      <c r="V20" s="5">
        <f>T20/(Regresiones!$J$4*SQRT(1-U20))</f>
        <v/>
      </c>
      <c r="W20" s="5">
        <f>IF(ABS(V20)&gt;2.5,"Sí","No")</f>
        <v/>
      </c>
    </row>
    <row r="21">
      <c r="A21" s="4" t="n">
        <v>26195020</v>
      </c>
      <c r="B21" s="4" t="inlineStr">
        <is>
          <t>Ita Andes</t>
        </is>
      </c>
      <c r="C21" s="4" t="inlineStr">
        <is>
          <t>Andes</t>
        </is>
      </c>
      <c r="D21" s="4" t="n">
        <v>1180</v>
      </c>
      <c r="E21" s="4" t="n">
        <v>28.67754997060552</v>
      </c>
      <c r="F21" s="4" t="n">
        <v>16.71992277270055</v>
      </c>
      <c r="G21" s="4" t="n">
        <v>21.99476094276095</v>
      </c>
      <c r="H21" s="4">
        <f>(E21+F21)/2</f>
        <v/>
      </c>
      <c r="I21" s="5">
        <f>Regresiones!$C$2+Regresiones!$D$2*D21</f>
        <v/>
      </c>
      <c r="J21" s="5">
        <f>E21-I21</f>
        <v/>
      </c>
      <c r="K21" s="5">
        <f>1/COUNT($D$2:$D$48)+(D21-AVERAGE($D$2:$D$48))^2/DEVSQ($D$2:$D$48)</f>
        <v/>
      </c>
      <c r="L21" s="5">
        <f>J21/(Regresiones!$J$2*SQRT(1-K21))</f>
        <v/>
      </c>
      <c r="M21" s="5">
        <f>IF(ABS(L21)&gt;2.5,"Sí","No")</f>
        <v/>
      </c>
      <c r="N21" s="5">
        <f>Regresiones!$C$3+Regresiones!$D$3*D21</f>
        <v/>
      </c>
      <c r="O21" s="5">
        <f>F21-N21</f>
        <v/>
      </c>
      <c r="P21" s="5">
        <f>1/COUNT($D$2:$D$48)+(D21-AVERAGE($D$2:$D$48))^2/DEVSQ($D$2:$D$48)</f>
        <v/>
      </c>
      <c r="Q21" s="5">
        <f>O21/(Regresiones!$J$3*SQRT(1-P21))</f>
        <v/>
      </c>
      <c r="R21" s="5">
        <f>IF(ABS(Q21)&gt;2.5,"Sí","No")</f>
        <v/>
      </c>
      <c r="S21" s="5">
        <f>Regresiones!$C$4+Regresiones!$D$4*D21</f>
        <v/>
      </c>
      <c r="T21" s="5">
        <f>G21-S21</f>
        <v/>
      </c>
      <c r="U21" s="5">
        <f>1/COUNT($D$2:$D$48)+(D21-AVERAGE($D$2:$D$48))^2/DEVSQ($D$2:$D$48)</f>
        <v/>
      </c>
      <c r="V21" s="5">
        <f>T21/(Regresiones!$J$4*SQRT(1-U21))</f>
        <v/>
      </c>
      <c r="W21" s="5">
        <f>IF(ABS(V21)&gt;2.5,"Sí","No")</f>
        <v/>
      </c>
    </row>
    <row r="22">
      <c r="A22" s="4" t="n">
        <v>26125060</v>
      </c>
      <c r="B22" s="4" t="inlineStr">
        <is>
          <t>Apto El Eden</t>
        </is>
      </c>
      <c r="C22" s="4" t="inlineStr">
        <is>
          <t>Armenia</t>
        </is>
      </c>
      <c r="D22" s="4" t="n">
        <v>1229</v>
      </c>
      <c r="E22" s="4" t="n">
        <v>27.58111111111112</v>
      </c>
      <c r="F22" s="4" t="n">
        <v>16.74611111111111</v>
      </c>
      <c r="G22" s="4" t="n">
        <v>22.06777777777778</v>
      </c>
      <c r="H22" s="4">
        <f>(E22+F22)/2</f>
        <v/>
      </c>
      <c r="I22" s="5">
        <f>Regresiones!$C$2+Regresiones!$D$2*D22</f>
        <v/>
      </c>
      <c r="J22" s="5">
        <f>E22-I22</f>
        <v/>
      </c>
      <c r="K22" s="5">
        <f>1/COUNT($D$2:$D$48)+(D22-AVERAGE($D$2:$D$48))^2/DEVSQ($D$2:$D$48)</f>
        <v/>
      </c>
      <c r="L22" s="5">
        <f>J22/(Regresiones!$J$2*SQRT(1-K22))</f>
        <v/>
      </c>
      <c r="M22" s="5">
        <f>IF(ABS(L22)&gt;2.5,"Sí","No")</f>
        <v/>
      </c>
      <c r="N22" s="5">
        <f>Regresiones!$C$3+Regresiones!$D$3*D22</f>
        <v/>
      </c>
      <c r="O22" s="5">
        <f>F22-N22</f>
        <v/>
      </c>
      <c r="P22" s="5">
        <f>1/COUNT($D$2:$D$48)+(D22-AVERAGE($D$2:$D$48))^2/DEVSQ($D$2:$D$48)</f>
        <v/>
      </c>
      <c r="Q22" s="5">
        <f>O22/(Regresiones!$J$3*SQRT(1-P22))</f>
        <v/>
      </c>
      <c r="R22" s="5">
        <f>IF(ABS(Q22)&gt;2.5,"Sí","No")</f>
        <v/>
      </c>
      <c r="S22" s="5">
        <f>Regresiones!$C$4+Regresiones!$D$4*D22</f>
        <v/>
      </c>
      <c r="T22" s="5">
        <f>G22-S22</f>
        <v/>
      </c>
      <c r="U22" s="5">
        <f>1/COUNT($D$2:$D$48)+(D22-AVERAGE($D$2:$D$48))^2/DEVSQ($D$2:$D$48)</f>
        <v/>
      </c>
      <c r="V22" s="5">
        <f>T22/(Regresiones!$J$4*SQRT(1-U22))</f>
        <v/>
      </c>
      <c r="W22" s="5">
        <f>IF(ABS(V22)&gt;2.5,"Sí","No")</f>
        <v/>
      </c>
    </row>
    <row r="23">
      <c r="A23" s="4" t="n">
        <v>26175070</v>
      </c>
      <c r="B23" s="4" t="inlineStr">
        <is>
          <t>Rafael Escobar</t>
        </is>
      </c>
      <c r="C23" s="4" t="inlineStr">
        <is>
          <t>Supia</t>
        </is>
      </c>
      <c r="D23" s="4" t="n">
        <v>1320</v>
      </c>
      <c r="E23" s="4" t="n">
        <v>27.69551282051282</v>
      </c>
      <c r="F23" s="4" t="n">
        <v>17.39166666666667</v>
      </c>
      <c r="G23" s="4" t="n">
        <v>22.06730769230769</v>
      </c>
      <c r="H23" s="4">
        <f>(E23+F23)/2</f>
        <v/>
      </c>
      <c r="I23" s="5">
        <f>Regresiones!$C$2+Regresiones!$D$2*D23</f>
        <v/>
      </c>
      <c r="J23" s="5">
        <f>E23-I23</f>
        <v/>
      </c>
      <c r="K23" s="5">
        <f>1/COUNT($D$2:$D$48)+(D23-AVERAGE($D$2:$D$48))^2/DEVSQ($D$2:$D$48)</f>
        <v/>
      </c>
      <c r="L23" s="5">
        <f>J23/(Regresiones!$J$2*SQRT(1-K23))</f>
        <v/>
      </c>
      <c r="M23" s="5">
        <f>IF(ABS(L23)&gt;2.5,"Sí","No")</f>
        <v/>
      </c>
      <c r="N23" s="5">
        <f>Regresiones!$C$3+Regresiones!$D$3*D23</f>
        <v/>
      </c>
      <c r="O23" s="5">
        <f>F23-N23</f>
        <v/>
      </c>
      <c r="P23" s="5">
        <f>1/COUNT($D$2:$D$48)+(D23-AVERAGE($D$2:$D$48))^2/DEVSQ($D$2:$D$48)</f>
        <v/>
      </c>
      <c r="Q23" s="5">
        <f>O23/(Regresiones!$J$3*SQRT(1-P23))</f>
        <v/>
      </c>
      <c r="R23" s="5">
        <f>IF(ABS(Q23)&gt;2.5,"Sí","No")</f>
        <v/>
      </c>
      <c r="S23" s="5">
        <f>Regresiones!$C$4+Regresiones!$D$4*D23</f>
        <v/>
      </c>
      <c r="T23" s="5">
        <f>G23-S23</f>
        <v/>
      </c>
      <c r="U23" s="5">
        <f>1/COUNT($D$2:$D$48)+(D23-AVERAGE($D$2:$D$48))^2/DEVSQ($D$2:$D$48)</f>
        <v/>
      </c>
      <c r="V23" s="5">
        <f>T23/(Regresiones!$J$4*SQRT(1-U23))</f>
        <v/>
      </c>
      <c r="W23" s="5">
        <f>IF(ABS(V23)&gt;2.5,"Sí","No")</f>
        <v/>
      </c>
    </row>
    <row r="24">
      <c r="A24" s="4" t="n">
        <v>26135040</v>
      </c>
      <c r="B24" s="4" t="inlineStr">
        <is>
          <t>Apto Matecana</t>
        </is>
      </c>
      <c r="C24" s="4" t="inlineStr">
        <is>
          <t>Pereira</t>
        </is>
      </c>
      <c r="D24" s="4" t="n">
        <v>1342</v>
      </c>
      <c r="E24" s="4" t="n">
        <v>26.33638888888889</v>
      </c>
      <c r="F24" s="4" t="n">
        <v>17.36305555555555</v>
      </c>
      <c r="G24" s="4" t="n">
        <v>21.54083333333334</v>
      </c>
      <c r="H24" s="4">
        <f>(E24+F24)/2</f>
        <v/>
      </c>
      <c r="I24" s="5">
        <f>Regresiones!$C$2+Regresiones!$D$2*D24</f>
        <v/>
      </c>
      <c r="J24" s="5">
        <f>E24-I24</f>
        <v/>
      </c>
      <c r="K24" s="5">
        <f>1/COUNT($D$2:$D$48)+(D24-AVERAGE($D$2:$D$48))^2/DEVSQ($D$2:$D$48)</f>
        <v/>
      </c>
      <c r="L24" s="5">
        <f>J24/(Regresiones!$J$2*SQRT(1-K24))</f>
        <v/>
      </c>
      <c r="M24" s="5">
        <f>IF(ABS(L24)&gt;2.5,"Sí","No")</f>
        <v/>
      </c>
      <c r="N24" s="5">
        <f>Regresiones!$C$3+Regresiones!$D$3*D24</f>
        <v/>
      </c>
      <c r="O24" s="5">
        <f>F24-N24</f>
        <v/>
      </c>
      <c r="P24" s="5">
        <f>1/COUNT($D$2:$D$48)+(D24-AVERAGE($D$2:$D$48))^2/DEVSQ($D$2:$D$48)</f>
        <v/>
      </c>
      <c r="Q24" s="5">
        <f>O24/(Regresiones!$J$3*SQRT(1-P24))</f>
        <v/>
      </c>
      <c r="R24" s="5">
        <f>IF(ABS(Q24)&gt;2.5,"Sí","No")</f>
        <v/>
      </c>
      <c r="S24" s="5">
        <f>Regresiones!$C$4+Regresiones!$D$4*D24</f>
        <v/>
      </c>
      <c r="T24" s="5">
        <f>G24-S24</f>
        <v/>
      </c>
      <c r="U24" s="5">
        <f>1/COUNT($D$2:$D$48)+(D24-AVERAGE($D$2:$D$48))^2/DEVSQ($D$2:$D$48)</f>
        <v/>
      </c>
      <c r="V24" s="5">
        <f>T24/(Regresiones!$J$4*SQRT(1-U24))</f>
        <v/>
      </c>
      <c r="W24" s="5">
        <f>IF(ABS(V24)&gt;2.5,"Sí","No")</f>
        <v/>
      </c>
    </row>
    <row r="25">
      <c r="A25" s="4" t="n">
        <v>26125070</v>
      </c>
      <c r="B25" s="4" t="inlineStr">
        <is>
          <t>Bella La</t>
        </is>
      </c>
      <c r="C25" s="4" t="inlineStr">
        <is>
          <t>Calarca</t>
        </is>
      </c>
      <c r="D25" s="4" t="n">
        <v>1450</v>
      </c>
      <c r="E25" s="4" t="n">
        <v>25.4354797979798</v>
      </c>
      <c r="F25" s="4" t="n">
        <v>16.23705808080808</v>
      </c>
      <c r="G25" s="4" t="n">
        <v>20.6020202020202</v>
      </c>
      <c r="H25" s="4">
        <f>(E25+F25)/2</f>
        <v/>
      </c>
      <c r="I25" s="5">
        <f>Regresiones!$C$2+Regresiones!$D$2*D25</f>
        <v/>
      </c>
      <c r="J25" s="5">
        <f>E25-I25</f>
        <v/>
      </c>
      <c r="K25" s="5">
        <f>1/COUNT($D$2:$D$48)+(D25-AVERAGE($D$2:$D$48))^2/DEVSQ($D$2:$D$48)</f>
        <v/>
      </c>
      <c r="L25" s="5">
        <f>J25/(Regresiones!$J$2*SQRT(1-K25))</f>
        <v/>
      </c>
      <c r="M25" s="5">
        <f>IF(ABS(L25)&gt;2.5,"Sí","No")</f>
        <v/>
      </c>
      <c r="N25" s="5">
        <f>Regresiones!$C$3+Regresiones!$D$3*D25</f>
        <v/>
      </c>
      <c r="O25" s="5">
        <f>F25-N25</f>
        <v/>
      </c>
      <c r="P25" s="5">
        <f>1/COUNT($D$2:$D$48)+(D25-AVERAGE($D$2:$D$48))^2/DEVSQ($D$2:$D$48)</f>
        <v/>
      </c>
      <c r="Q25" s="5">
        <f>O25/(Regresiones!$J$3*SQRT(1-P25))</f>
        <v/>
      </c>
      <c r="R25" s="5">
        <f>IF(ABS(Q25)&gt;2.5,"Sí","No")</f>
        <v/>
      </c>
      <c r="S25" s="5">
        <f>Regresiones!$C$4+Regresiones!$D$4*D25</f>
        <v/>
      </c>
      <c r="T25" s="5">
        <f>G25-S25</f>
        <v/>
      </c>
      <c r="U25" s="5">
        <f>1/COUNT($D$2:$D$48)+(D25-AVERAGE($D$2:$D$48))^2/DEVSQ($D$2:$D$48)</f>
        <v/>
      </c>
      <c r="V25" s="5">
        <f>T25/(Regresiones!$J$4*SQRT(1-U25))</f>
        <v/>
      </c>
      <c r="W25" s="5">
        <f>IF(ABS(V25)&gt;2.5,"Sí","No")</f>
        <v/>
      </c>
    </row>
    <row r="26">
      <c r="A26" s="4" t="n">
        <v>26085130</v>
      </c>
      <c r="B26" s="4" t="inlineStr">
        <is>
          <t>Buitrera La</t>
        </is>
      </c>
      <c r="C26" s="4" t="inlineStr">
        <is>
          <t>Yumbo</t>
        </is>
      </c>
      <c r="D26" s="4" t="n">
        <v>1500</v>
      </c>
      <c r="E26" s="4" t="n">
        <v>26.17660697887971</v>
      </c>
      <c r="F26" s="4" t="n">
        <v>16.41593778696051</v>
      </c>
      <c r="G26" s="4" t="n">
        <v>20.6992319023569</v>
      </c>
      <c r="H26" s="4">
        <f>(E26+F26)/2</f>
        <v/>
      </c>
      <c r="I26" s="5">
        <f>Regresiones!$C$2+Regresiones!$D$2*D26</f>
        <v/>
      </c>
      <c r="J26" s="5">
        <f>E26-I26</f>
        <v/>
      </c>
      <c r="K26" s="5">
        <f>1/COUNT($D$2:$D$48)+(D26-AVERAGE($D$2:$D$48))^2/DEVSQ($D$2:$D$48)</f>
        <v/>
      </c>
      <c r="L26" s="5">
        <f>J26/(Regresiones!$J$2*SQRT(1-K26))</f>
        <v/>
      </c>
      <c r="M26" s="5">
        <f>IF(ABS(L26)&gt;2.5,"Sí","No")</f>
        <v/>
      </c>
      <c r="N26" s="5">
        <f>Regresiones!$C$3+Regresiones!$D$3*D26</f>
        <v/>
      </c>
      <c r="O26" s="5">
        <f>F26-N26</f>
        <v/>
      </c>
      <c r="P26" s="5">
        <f>1/COUNT($D$2:$D$48)+(D26-AVERAGE($D$2:$D$48))^2/DEVSQ($D$2:$D$48)</f>
        <v/>
      </c>
      <c r="Q26" s="5">
        <f>O26/(Regresiones!$J$3*SQRT(1-P26))</f>
        <v/>
      </c>
      <c r="R26" s="5">
        <f>IF(ABS(Q26)&gt;2.5,"Sí","No")</f>
        <v/>
      </c>
      <c r="S26" s="5">
        <f>Regresiones!$C$4+Regresiones!$D$4*D26</f>
        <v/>
      </c>
      <c r="T26" s="5">
        <f>G26-S26</f>
        <v/>
      </c>
      <c r="U26" s="5">
        <f>1/COUNT($D$2:$D$48)+(D26-AVERAGE($D$2:$D$48))^2/DEVSQ($D$2:$D$48)</f>
        <v/>
      </c>
      <c r="V26" s="5">
        <f>T26/(Regresiones!$J$4*SQRT(1-U26))</f>
        <v/>
      </c>
      <c r="W26" s="5">
        <f>IF(ABS(V26)&gt;2.5,"Sí","No")</f>
        <v/>
      </c>
    </row>
    <row r="27">
      <c r="A27" s="4" t="n">
        <v>26195010</v>
      </c>
      <c r="B27" s="4" t="inlineStr">
        <is>
          <t>Miguel Valencia</t>
        </is>
      </c>
      <c r="C27" s="4" t="inlineStr">
        <is>
          <t>Jardin</t>
        </is>
      </c>
      <c r="D27" s="4" t="n">
        <v>1570</v>
      </c>
      <c r="E27" s="4" t="n">
        <v>25.38974358974359</v>
      </c>
      <c r="F27" s="4" t="n">
        <v>15.05576923076923</v>
      </c>
      <c r="G27" s="4" t="n">
        <v>19.23525641025641</v>
      </c>
      <c r="H27" s="4">
        <f>(E27+F27)/2</f>
        <v/>
      </c>
      <c r="I27" s="5">
        <f>Regresiones!$C$2+Regresiones!$D$2*D27</f>
        <v/>
      </c>
      <c r="J27" s="5">
        <f>E27-I27</f>
        <v/>
      </c>
      <c r="K27" s="5">
        <f>1/COUNT($D$2:$D$48)+(D27-AVERAGE($D$2:$D$48))^2/DEVSQ($D$2:$D$48)</f>
        <v/>
      </c>
      <c r="L27" s="5">
        <f>J27/(Regresiones!$J$2*SQRT(1-K27))</f>
        <v/>
      </c>
      <c r="M27" s="5">
        <f>IF(ABS(L27)&gt;2.5,"Sí","No")</f>
        <v/>
      </c>
      <c r="N27" s="5">
        <f>Regresiones!$C$3+Regresiones!$D$3*D27</f>
        <v/>
      </c>
      <c r="O27" s="5">
        <f>F27-N27</f>
        <v/>
      </c>
      <c r="P27" s="5">
        <f>1/COUNT($D$2:$D$48)+(D27-AVERAGE($D$2:$D$48))^2/DEVSQ($D$2:$D$48)</f>
        <v/>
      </c>
      <c r="Q27" s="5">
        <f>O27/(Regresiones!$J$3*SQRT(1-P27))</f>
        <v/>
      </c>
      <c r="R27" s="5">
        <f>IF(ABS(Q27)&gt;2.5,"Sí","No")</f>
        <v/>
      </c>
      <c r="S27" s="5">
        <f>Regresiones!$C$4+Regresiones!$D$4*D27</f>
        <v/>
      </c>
      <c r="T27" s="5">
        <f>G27-S27</f>
        <v/>
      </c>
      <c r="U27" s="5">
        <f>1/COUNT($D$2:$D$48)+(D27-AVERAGE($D$2:$D$48))^2/DEVSQ($D$2:$D$48)</f>
        <v/>
      </c>
      <c r="V27" s="5">
        <f>T27/(Regresiones!$J$4*SQRT(1-U27))</f>
        <v/>
      </c>
      <c r="W27" s="5">
        <f>IF(ABS(V27)&gt;2.5,"Sí","No")</f>
        <v/>
      </c>
    </row>
    <row r="28">
      <c r="A28" s="4" t="n">
        <v>26205020</v>
      </c>
      <c r="B28" s="4" t="inlineStr">
        <is>
          <t>Rosario El</t>
        </is>
      </c>
      <c r="C28" s="4" t="inlineStr">
        <is>
          <t>Venecia</t>
        </is>
      </c>
      <c r="D28" s="4" t="n">
        <v>1600</v>
      </c>
      <c r="E28" s="4" t="n">
        <v>24.83846153846153</v>
      </c>
      <c r="F28" s="4" t="n">
        <v>16.03782051282052</v>
      </c>
      <c r="G28" s="4" t="n">
        <v>20.22435897435897</v>
      </c>
      <c r="H28" s="4">
        <f>(E28+F28)/2</f>
        <v/>
      </c>
      <c r="I28" s="5">
        <f>Regresiones!$C$2+Regresiones!$D$2*D28</f>
        <v/>
      </c>
      <c r="J28" s="5">
        <f>E28-I28</f>
        <v/>
      </c>
      <c r="K28" s="5">
        <f>1/COUNT($D$2:$D$48)+(D28-AVERAGE($D$2:$D$48))^2/DEVSQ($D$2:$D$48)</f>
        <v/>
      </c>
      <c r="L28" s="5">
        <f>J28/(Regresiones!$J$2*SQRT(1-K28))</f>
        <v/>
      </c>
      <c r="M28" s="5">
        <f>IF(ABS(L28)&gt;2.5,"Sí","No")</f>
        <v/>
      </c>
      <c r="N28" s="5">
        <f>Regresiones!$C$3+Regresiones!$D$3*D28</f>
        <v/>
      </c>
      <c r="O28" s="5">
        <f>F28-N28</f>
        <v/>
      </c>
      <c r="P28" s="5">
        <f>1/COUNT($D$2:$D$48)+(D28-AVERAGE($D$2:$D$48))^2/DEVSQ($D$2:$D$48)</f>
        <v/>
      </c>
      <c r="Q28" s="5">
        <f>O28/(Regresiones!$J$3*SQRT(1-P28))</f>
        <v/>
      </c>
      <c r="R28" s="5">
        <f>IF(ABS(Q28)&gt;2.5,"Sí","No")</f>
        <v/>
      </c>
      <c r="S28" s="5">
        <f>Regresiones!$C$4+Regresiones!$D$4*D28</f>
        <v/>
      </c>
      <c r="T28" s="5">
        <f>G28-S28</f>
        <v/>
      </c>
      <c r="U28" s="5">
        <f>1/COUNT($D$2:$D$48)+(D28-AVERAGE($D$2:$D$48))^2/DEVSQ($D$2:$D$48)</f>
        <v/>
      </c>
      <c r="V28" s="5">
        <f>T28/(Regresiones!$J$4*SQRT(1-U28))</f>
        <v/>
      </c>
      <c r="W28" s="5">
        <f>IF(ABS(V28)&gt;2.5,"Sí","No")</f>
        <v/>
      </c>
    </row>
    <row r="29">
      <c r="A29" s="4" t="n">
        <v>26135060</v>
      </c>
      <c r="B29" s="4" t="inlineStr">
        <is>
          <t>Jazmin El</t>
        </is>
      </c>
      <c r="C29" s="4" t="inlineStr">
        <is>
          <t>Santa Rosa de Cabal</t>
        </is>
      </c>
      <c r="D29" s="4" t="n">
        <v>1600</v>
      </c>
      <c r="E29" s="4" t="n">
        <v>24.73263888888889</v>
      </c>
      <c r="F29" s="4" t="n">
        <v>15.39768518518518</v>
      </c>
      <c r="G29" s="4" t="n">
        <v>19.56574074074074</v>
      </c>
      <c r="H29" s="4">
        <f>(E29+F29)/2</f>
        <v/>
      </c>
      <c r="I29" s="5">
        <f>Regresiones!$C$2+Regresiones!$D$2*D29</f>
        <v/>
      </c>
      <c r="J29" s="5">
        <f>E29-I29</f>
        <v/>
      </c>
      <c r="K29" s="5">
        <f>1/COUNT($D$2:$D$48)+(D29-AVERAGE($D$2:$D$48))^2/DEVSQ($D$2:$D$48)</f>
        <v/>
      </c>
      <c r="L29" s="5">
        <f>J29/(Regresiones!$J$2*SQRT(1-K29))</f>
        <v/>
      </c>
      <c r="M29" s="5">
        <f>IF(ABS(L29)&gt;2.5,"Sí","No")</f>
        <v/>
      </c>
      <c r="N29" s="5">
        <f>Regresiones!$C$3+Regresiones!$D$3*D29</f>
        <v/>
      </c>
      <c r="O29" s="5">
        <f>F29-N29</f>
        <v/>
      </c>
      <c r="P29" s="5">
        <f>1/COUNT($D$2:$D$48)+(D29-AVERAGE($D$2:$D$48))^2/DEVSQ($D$2:$D$48)</f>
        <v/>
      </c>
      <c r="Q29" s="5">
        <f>O29/(Regresiones!$J$3*SQRT(1-P29))</f>
        <v/>
      </c>
      <c r="R29" s="5">
        <f>IF(ABS(Q29)&gt;2.5,"Sí","No")</f>
        <v/>
      </c>
      <c r="S29" s="5">
        <f>Regresiones!$C$4+Regresiones!$D$4*D29</f>
        <v/>
      </c>
      <c r="T29" s="5">
        <f>G29-S29</f>
        <v/>
      </c>
      <c r="U29" s="5">
        <f>1/COUNT($D$2:$D$48)+(D29-AVERAGE($D$2:$D$48))^2/DEVSQ($D$2:$D$48)</f>
        <v/>
      </c>
      <c r="V29" s="5">
        <f>T29/(Regresiones!$J$4*SQRT(1-U29))</f>
        <v/>
      </c>
      <c r="W29" s="5">
        <f>IF(ABS(V29)&gt;2.5,"Sí","No")</f>
        <v/>
      </c>
    </row>
    <row r="30">
      <c r="A30" s="4" t="n">
        <v>26145030</v>
      </c>
      <c r="B30" s="4" t="inlineStr">
        <is>
          <t>Camelia La</t>
        </is>
      </c>
      <c r="C30" s="4" t="inlineStr">
        <is>
          <t>Santuario</t>
        </is>
      </c>
      <c r="D30" s="4" t="n">
        <v>1650</v>
      </c>
      <c r="E30" s="4" t="n">
        <v>23.60888888888888</v>
      </c>
      <c r="F30" s="4" t="n">
        <v>16.17135107690663</v>
      </c>
      <c r="G30" s="4" t="n">
        <v>19.19138888888889</v>
      </c>
      <c r="H30" s="4">
        <f>(E30+F30)/2</f>
        <v/>
      </c>
      <c r="I30" s="5">
        <f>Regresiones!$C$2+Regresiones!$D$2*D30</f>
        <v/>
      </c>
      <c r="J30" s="5">
        <f>E30-I30</f>
        <v/>
      </c>
      <c r="K30" s="5">
        <f>1/COUNT($D$2:$D$48)+(D30-AVERAGE($D$2:$D$48))^2/DEVSQ($D$2:$D$48)</f>
        <v/>
      </c>
      <c r="L30" s="5">
        <f>J30/(Regresiones!$J$2*SQRT(1-K30))</f>
        <v/>
      </c>
      <c r="M30" s="5">
        <f>IF(ABS(L30)&gt;2.5,"Sí","No")</f>
        <v/>
      </c>
      <c r="N30" s="5">
        <f>Regresiones!$C$3+Regresiones!$D$3*D30</f>
        <v/>
      </c>
      <c r="O30" s="5">
        <f>F30-N30</f>
        <v/>
      </c>
      <c r="P30" s="5">
        <f>1/COUNT($D$2:$D$48)+(D30-AVERAGE($D$2:$D$48))^2/DEVSQ($D$2:$D$48)</f>
        <v/>
      </c>
      <c r="Q30" s="5">
        <f>O30/(Regresiones!$J$3*SQRT(1-P30))</f>
        <v/>
      </c>
      <c r="R30" s="5">
        <f>IF(ABS(Q30)&gt;2.5,"Sí","No")</f>
        <v/>
      </c>
      <c r="S30" s="5">
        <f>Regresiones!$C$4+Regresiones!$D$4*D30</f>
        <v/>
      </c>
      <c r="T30" s="5">
        <f>G30-S30</f>
        <v/>
      </c>
      <c r="U30" s="5">
        <f>1/COUNT($D$2:$D$48)+(D30-AVERAGE($D$2:$D$48))^2/DEVSQ($D$2:$D$48)</f>
        <v/>
      </c>
      <c r="V30" s="5">
        <f>T30/(Regresiones!$J$4*SQRT(1-U30))</f>
        <v/>
      </c>
      <c r="W30" s="5">
        <f>IF(ABS(V30)&gt;2.5,"Sí","No")</f>
        <v/>
      </c>
    </row>
    <row r="31">
      <c r="A31" s="4" t="n">
        <v>26125130</v>
      </c>
      <c r="B31" s="4" t="inlineStr">
        <is>
          <t>Cumbarco</t>
        </is>
      </c>
      <c r="C31" s="4" t="inlineStr">
        <is>
          <t>Sevilla</t>
        </is>
      </c>
      <c r="D31" s="4" t="n">
        <v>1692</v>
      </c>
      <c r="E31" s="4" t="n">
        <v>23.35383522727273</v>
      </c>
      <c r="F31" s="4" t="n">
        <v>15.10694444444444</v>
      </c>
      <c r="G31" s="4" t="n">
        <v>18.875</v>
      </c>
      <c r="H31" s="4">
        <f>(E31+F31)/2</f>
        <v/>
      </c>
      <c r="I31" s="5">
        <f>Regresiones!$C$2+Regresiones!$D$2*D31</f>
        <v/>
      </c>
      <c r="J31" s="5">
        <f>E31-I31</f>
        <v/>
      </c>
      <c r="K31" s="5">
        <f>1/COUNT($D$2:$D$48)+(D31-AVERAGE($D$2:$D$48))^2/DEVSQ($D$2:$D$48)</f>
        <v/>
      </c>
      <c r="L31" s="5">
        <f>J31/(Regresiones!$J$2*SQRT(1-K31))</f>
        <v/>
      </c>
      <c r="M31" s="5">
        <f>IF(ABS(L31)&gt;2.5,"Sí","No")</f>
        <v/>
      </c>
      <c r="N31" s="5">
        <f>Regresiones!$C$3+Regresiones!$D$3*D31</f>
        <v/>
      </c>
      <c r="O31" s="5">
        <f>F31-N31</f>
        <v/>
      </c>
      <c r="P31" s="5">
        <f>1/COUNT($D$2:$D$48)+(D31-AVERAGE($D$2:$D$48))^2/DEVSQ($D$2:$D$48)</f>
        <v/>
      </c>
      <c r="Q31" s="5">
        <f>O31/(Regresiones!$J$3*SQRT(1-P31))</f>
        <v/>
      </c>
      <c r="R31" s="5">
        <f>IF(ABS(Q31)&gt;2.5,"Sí","No")</f>
        <v/>
      </c>
      <c r="S31" s="5">
        <f>Regresiones!$C$4+Regresiones!$D$4*D31</f>
        <v/>
      </c>
      <c r="T31" s="5">
        <f>G31-S31</f>
        <v/>
      </c>
      <c r="U31" s="5">
        <f>1/COUNT($D$2:$D$48)+(D31-AVERAGE($D$2:$D$48))^2/DEVSQ($D$2:$D$48)</f>
        <v/>
      </c>
      <c r="V31" s="5">
        <f>T31/(Regresiones!$J$4*SQRT(1-U31))</f>
        <v/>
      </c>
      <c r="W31" s="5">
        <f>IF(ABS(V31)&gt;2.5,"Sí","No")</f>
        <v/>
      </c>
    </row>
    <row r="32">
      <c r="A32" s="4" t="n">
        <v>26135110</v>
      </c>
      <c r="B32" s="4" t="inlineStr">
        <is>
          <t>Veracruz</t>
        </is>
      </c>
      <c r="C32" s="4" t="inlineStr">
        <is>
          <t>Pereira</t>
        </is>
      </c>
      <c r="D32" s="4" t="n">
        <v>1720</v>
      </c>
      <c r="E32" s="4" t="n">
        <v>23.7763888888889</v>
      </c>
      <c r="F32" s="4" t="n">
        <v>14.57298850574713</v>
      </c>
      <c r="G32" s="4" t="n">
        <v>18.76666666666666</v>
      </c>
      <c r="H32" s="4">
        <f>(E32+F32)/2</f>
        <v/>
      </c>
      <c r="I32" s="5">
        <f>Regresiones!$C$2+Regresiones!$D$2*D32</f>
        <v/>
      </c>
      <c r="J32" s="5">
        <f>E32-I32</f>
        <v/>
      </c>
      <c r="K32" s="5">
        <f>1/COUNT($D$2:$D$48)+(D32-AVERAGE($D$2:$D$48))^2/DEVSQ($D$2:$D$48)</f>
        <v/>
      </c>
      <c r="L32" s="5">
        <f>J32/(Regresiones!$J$2*SQRT(1-K32))</f>
        <v/>
      </c>
      <c r="M32" s="5">
        <f>IF(ABS(L32)&gt;2.5,"Sí","No")</f>
        <v/>
      </c>
      <c r="N32" s="5">
        <f>Regresiones!$C$3+Regresiones!$D$3*D32</f>
        <v/>
      </c>
      <c r="O32" s="5">
        <f>F32-N32</f>
        <v/>
      </c>
      <c r="P32" s="5">
        <f>1/COUNT($D$2:$D$48)+(D32-AVERAGE($D$2:$D$48))^2/DEVSQ($D$2:$D$48)</f>
        <v/>
      </c>
      <c r="Q32" s="5">
        <f>O32/(Regresiones!$J$3*SQRT(1-P32))</f>
        <v/>
      </c>
      <c r="R32" s="5">
        <f>IF(ABS(Q32)&gt;2.5,"Sí","No")</f>
        <v/>
      </c>
      <c r="S32" s="5">
        <f>Regresiones!$C$4+Regresiones!$D$4*D32</f>
        <v/>
      </c>
      <c r="T32" s="5">
        <f>G32-S32</f>
        <v/>
      </c>
      <c r="U32" s="5">
        <f>1/COUNT($D$2:$D$48)+(D32-AVERAGE($D$2:$D$48))^2/DEVSQ($D$2:$D$48)</f>
        <v/>
      </c>
      <c r="V32" s="5">
        <f>T32/(Regresiones!$J$4*SQRT(1-U32))</f>
        <v/>
      </c>
      <c r="W32" s="5">
        <f>IF(ABS(V32)&gt;2.5,"Sí","No")</f>
        <v/>
      </c>
    </row>
    <row r="33">
      <c r="A33" s="4" t="n">
        <v>26025100</v>
      </c>
      <c r="B33" s="4" t="inlineStr">
        <is>
          <t>Tunia</t>
        </is>
      </c>
      <c r="C33" s="4" t="inlineStr">
        <is>
          <t>Piendamo</t>
        </is>
      </c>
      <c r="D33" s="4" t="n">
        <v>1800</v>
      </c>
      <c r="E33" s="4" t="n">
        <v>23.79523809523809</v>
      </c>
      <c r="F33" s="4" t="n">
        <v>14.38095238095238</v>
      </c>
      <c r="G33" s="4" t="n">
        <v>19.06522727272727</v>
      </c>
      <c r="H33" s="4">
        <f>(E33+F33)/2</f>
        <v/>
      </c>
      <c r="I33" s="5">
        <f>Regresiones!$C$2+Regresiones!$D$2*D33</f>
        <v/>
      </c>
      <c r="J33" s="5">
        <f>E33-I33</f>
        <v/>
      </c>
      <c r="K33" s="5">
        <f>1/COUNT($D$2:$D$48)+(D33-AVERAGE($D$2:$D$48))^2/DEVSQ($D$2:$D$48)</f>
        <v/>
      </c>
      <c r="L33" s="5">
        <f>J33/(Regresiones!$J$2*SQRT(1-K33))</f>
        <v/>
      </c>
      <c r="M33" s="5">
        <f>IF(ABS(L33)&gt;2.5,"Sí","No")</f>
        <v/>
      </c>
      <c r="N33" s="5">
        <f>Regresiones!$C$3+Regresiones!$D$3*D33</f>
        <v/>
      </c>
      <c r="O33" s="5">
        <f>F33-N33</f>
        <v/>
      </c>
      <c r="P33" s="5">
        <f>1/COUNT($D$2:$D$48)+(D33-AVERAGE($D$2:$D$48))^2/DEVSQ($D$2:$D$48)</f>
        <v/>
      </c>
      <c r="Q33" s="5">
        <f>O33/(Regresiones!$J$3*SQRT(1-P33))</f>
        <v/>
      </c>
      <c r="R33" s="5">
        <f>IF(ABS(Q33)&gt;2.5,"Sí","No")</f>
        <v/>
      </c>
      <c r="S33" s="5">
        <f>Regresiones!$C$4+Regresiones!$D$4*D33</f>
        <v/>
      </c>
      <c r="T33" s="5">
        <f>G33-S33</f>
        <v/>
      </c>
      <c r="U33" s="5">
        <f>1/COUNT($D$2:$D$48)+(D33-AVERAGE($D$2:$D$48))^2/DEVSQ($D$2:$D$48)</f>
        <v/>
      </c>
      <c r="V33" s="5">
        <f>T33/(Regresiones!$J$4*SQRT(1-U33))</f>
        <v/>
      </c>
      <c r="W33" s="5">
        <f>IF(ABS(V33)&gt;2.5,"Sí","No")</f>
        <v/>
      </c>
    </row>
    <row r="34">
      <c r="A34" s="4" t="n">
        <v>26025090</v>
      </c>
      <c r="B34" s="4" t="inlineStr">
        <is>
          <t>Venta De Cajibio</t>
        </is>
      </c>
      <c r="C34" s="4" t="inlineStr">
        <is>
          <t>Cajibio</t>
        </is>
      </c>
      <c r="D34" s="4" t="n">
        <v>1850</v>
      </c>
      <c r="E34" s="4" t="n">
        <v>24.52123857623857</v>
      </c>
      <c r="F34" s="4" t="n">
        <v>13.72681818181818</v>
      </c>
      <c r="G34" s="4" t="n">
        <v>18.49444444444445</v>
      </c>
      <c r="H34" s="4">
        <f>(E34+F34)/2</f>
        <v/>
      </c>
      <c r="I34" s="5">
        <f>Regresiones!$C$2+Regresiones!$D$2*D34</f>
        <v/>
      </c>
      <c r="J34" s="5">
        <f>E34-I34</f>
        <v/>
      </c>
      <c r="K34" s="5">
        <f>1/COUNT($D$2:$D$48)+(D34-AVERAGE($D$2:$D$48))^2/DEVSQ($D$2:$D$48)</f>
        <v/>
      </c>
      <c r="L34" s="5">
        <f>J34/(Regresiones!$J$2*SQRT(1-K34))</f>
        <v/>
      </c>
      <c r="M34" s="5">
        <f>IF(ABS(L34)&gt;2.5,"Sí","No")</f>
        <v/>
      </c>
      <c r="N34" s="5">
        <f>Regresiones!$C$3+Regresiones!$D$3*D34</f>
        <v/>
      </c>
      <c r="O34" s="5">
        <f>F34-N34</f>
        <v/>
      </c>
      <c r="P34" s="5">
        <f>1/COUNT($D$2:$D$48)+(D34-AVERAGE($D$2:$D$48))^2/DEVSQ($D$2:$D$48)</f>
        <v/>
      </c>
      <c r="Q34" s="5">
        <f>O34/(Regresiones!$J$3*SQRT(1-P34))</f>
        <v/>
      </c>
      <c r="R34" s="5">
        <f>IF(ABS(Q34)&gt;2.5,"Sí","No")</f>
        <v/>
      </c>
      <c r="S34" s="5">
        <f>Regresiones!$C$4+Regresiones!$D$4*D34</f>
        <v/>
      </c>
      <c r="T34" s="5">
        <f>G34-S34</f>
        <v/>
      </c>
      <c r="U34" s="5">
        <f>1/COUNT($D$2:$D$48)+(D34-AVERAGE($D$2:$D$48))^2/DEVSQ($D$2:$D$48)</f>
        <v/>
      </c>
      <c r="V34" s="5">
        <f>T34/(Regresiones!$J$4*SQRT(1-U34))</f>
        <v/>
      </c>
      <c r="W34" s="5">
        <f>IF(ABS(V34)&gt;2.5,"Sí","No")</f>
        <v/>
      </c>
    </row>
    <row r="35">
      <c r="A35" s="4" t="n">
        <v>26215010</v>
      </c>
      <c r="B35" s="4" t="inlineStr">
        <is>
          <t>Concordia</t>
        </is>
      </c>
      <c r="C35" s="4" t="inlineStr">
        <is>
          <t>Concordia</t>
        </is>
      </c>
      <c r="D35" s="4" t="n">
        <v>1904</v>
      </c>
      <c r="E35" s="4" t="n">
        <v>23.23080059857838</v>
      </c>
      <c r="F35" s="4" t="n">
        <v>14.27094650205761</v>
      </c>
      <c r="G35" s="4" t="n">
        <v>18.51097701149425</v>
      </c>
      <c r="H35" s="4">
        <f>(E35+F35)/2</f>
        <v/>
      </c>
      <c r="I35" s="5">
        <f>Regresiones!$C$2+Regresiones!$D$2*D35</f>
        <v/>
      </c>
      <c r="J35" s="5">
        <f>E35-I35</f>
        <v/>
      </c>
      <c r="K35" s="5">
        <f>1/COUNT($D$2:$D$48)+(D35-AVERAGE($D$2:$D$48))^2/DEVSQ($D$2:$D$48)</f>
        <v/>
      </c>
      <c r="L35" s="5">
        <f>J35/(Regresiones!$J$2*SQRT(1-K35))</f>
        <v/>
      </c>
      <c r="M35" s="5">
        <f>IF(ABS(L35)&gt;2.5,"Sí","No")</f>
        <v/>
      </c>
      <c r="N35" s="5">
        <f>Regresiones!$C$3+Regresiones!$D$3*D35</f>
        <v/>
      </c>
      <c r="O35" s="5">
        <f>F35-N35</f>
        <v/>
      </c>
      <c r="P35" s="5">
        <f>1/COUNT($D$2:$D$48)+(D35-AVERAGE($D$2:$D$48))^2/DEVSQ($D$2:$D$48)</f>
        <v/>
      </c>
      <c r="Q35" s="5">
        <f>O35/(Regresiones!$J$3*SQRT(1-P35))</f>
        <v/>
      </c>
      <c r="R35" s="5">
        <f>IF(ABS(Q35)&gt;2.5,"Sí","No")</f>
        <v/>
      </c>
      <c r="S35" s="5">
        <f>Regresiones!$C$4+Regresiones!$D$4*D35</f>
        <v/>
      </c>
      <c r="T35" s="5">
        <f>G35-S35</f>
        <v/>
      </c>
      <c r="U35" s="5">
        <f>1/COUNT($D$2:$D$48)+(D35-AVERAGE($D$2:$D$48))^2/DEVSQ($D$2:$D$48)</f>
        <v/>
      </c>
      <c r="V35" s="5">
        <f>T35/(Regresiones!$J$4*SQRT(1-U35))</f>
        <v/>
      </c>
      <c r="W35" s="5">
        <f>IF(ABS(V35)&gt;2.5,"Sí","No")</f>
        <v/>
      </c>
    </row>
    <row r="36">
      <c r="A36" s="4" t="n">
        <v>26145020</v>
      </c>
      <c r="B36" s="4" t="inlineStr">
        <is>
          <t>Bellavista</t>
        </is>
      </c>
      <c r="C36" s="4" t="inlineStr">
        <is>
          <t>Anserma</t>
        </is>
      </c>
      <c r="D36" s="4" t="n">
        <v>1932</v>
      </c>
      <c r="E36" s="4" t="n">
        <v>21.50941370223979</v>
      </c>
      <c r="F36" s="4" t="n">
        <v>13.38255366161616</v>
      </c>
      <c r="G36" s="4" t="n">
        <v>17.00929834054834</v>
      </c>
      <c r="H36" s="4">
        <f>(E36+F36)/2</f>
        <v/>
      </c>
      <c r="I36" s="5">
        <f>Regresiones!$C$2+Regresiones!$D$2*D36</f>
        <v/>
      </c>
      <c r="J36" s="5">
        <f>E36-I36</f>
        <v/>
      </c>
      <c r="K36" s="5">
        <f>1/COUNT($D$2:$D$48)+(D36-AVERAGE($D$2:$D$48))^2/DEVSQ($D$2:$D$48)</f>
        <v/>
      </c>
      <c r="L36" s="5">
        <f>J36/(Regresiones!$J$2*SQRT(1-K36))</f>
        <v/>
      </c>
      <c r="M36" s="5">
        <f>IF(ABS(L36)&gt;2.5,"Sí","No")</f>
        <v/>
      </c>
      <c r="N36" s="5">
        <f>Regresiones!$C$3+Regresiones!$D$3*D36</f>
        <v/>
      </c>
      <c r="O36" s="5">
        <f>F36-N36</f>
        <v/>
      </c>
      <c r="P36" s="5">
        <f>1/COUNT($D$2:$D$48)+(D36-AVERAGE($D$2:$D$48))^2/DEVSQ($D$2:$D$48)</f>
        <v/>
      </c>
      <c r="Q36" s="5">
        <f>O36/(Regresiones!$J$3*SQRT(1-P36))</f>
        <v/>
      </c>
      <c r="R36" s="5">
        <f>IF(ABS(Q36)&gt;2.5,"Sí","No")</f>
        <v/>
      </c>
      <c r="S36" s="5">
        <f>Regresiones!$C$4+Regresiones!$D$4*D36</f>
        <v/>
      </c>
      <c r="T36" s="5">
        <f>G36-S36</f>
        <v/>
      </c>
      <c r="U36" s="5">
        <f>1/COUNT($D$2:$D$48)+(D36-AVERAGE($D$2:$D$48))^2/DEVSQ($D$2:$D$48)</f>
        <v/>
      </c>
      <c r="V36" s="5">
        <f>T36/(Regresiones!$J$4*SQRT(1-U36))</f>
        <v/>
      </c>
      <c r="W36" s="5">
        <f>IF(ABS(V36)&gt;2.5,"Sí","No")</f>
        <v/>
      </c>
    </row>
    <row r="37">
      <c r="A37" s="4" t="n">
        <v>26135160</v>
      </c>
      <c r="B37" s="4" t="inlineStr">
        <is>
          <t>San Remo</t>
        </is>
      </c>
      <c r="C37" s="4" t="inlineStr">
        <is>
          <t>Santa Rosa de Cabal</t>
        </is>
      </c>
      <c r="D37" s="4" t="n">
        <v>2000</v>
      </c>
      <c r="E37" s="4" t="n">
        <v>21.60823412698413</v>
      </c>
      <c r="F37" s="4" t="n">
        <v>13.69991071428571</v>
      </c>
      <c r="G37" s="4" t="n">
        <v>17.08968253968254</v>
      </c>
      <c r="H37" s="4">
        <f>(E37+F37)/2</f>
        <v/>
      </c>
      <c r="I37" s="5">
        <f>Regresiones!$C$2+Regresiones!$D$2*D37</f>
        <v/>
      </c>
      <c r="J37" s="5">
        <f>E37-I37</f>
        <v/>
      </c>
      <c r="K37" s="5">
        <f>1/COUNT($D$2:$D$48)+(D37-AVERAGE($D$2:$D$48))^2/DEVSQ($D$2:$D$48)</f>
        <v/>
      </c>
      <c r="L37" s="5">
        <f>J37/(Regresiones!$J$2*SQRT(1-K37))</f>
        <v/>
      </c>
      <c r="M37" s="5">
        <f>IF(ABS(L37)&gt;2.5,"Sí","No")</f>
        <v/>
      </c>
      <c r="N37" s="5">
        <f>Regresiones!$C$3+Regresiones!$D$3*D37</f>
        <v/>
      </c>
      <c r="O37" s="5">
        <f>F37-N37</f>
        <v/>
      </c>
      <c r="P37" s="5">
        <f>1/COUNT($D$2:$D$48)+(D37-AVERAGE($D$2:$D$48))^2/DEVSQ($D$2:$D$48)</f>
        <v/>
      </c>
      <c r="Q37" s="5">
        <f>O37/(Regresiones!$J$3*SQRT(1-P37))</f>
        <v/>
      </c>
      <c r="R37" s="5">
        <f>IF(ABS(Q37)&gt;2.5,"Sí","No")</f>
        <v/>
      </c>
      <c r="S37" s="5">
        <f>Regresiones!$C$4+Regresiones!$D$4*D37</f>
        <v/>
      </c>
      <c r="T37" s="5">
        <f>G37-S37</f>
        <v/>
      </c>
      <c r="U37" s="5">
        <f>1/COUNT($D$2:$D$48)+(D37-AVERAGE($D$2:$D$48))^2/DEVSQ($D$2:$D$48)</f>
        <v/>
      </c>
      <c r="V37" s="5">
        <f>T37/(Regresiones!$J$4*SQRT(1-U37))</f>
        <v/>
      </c>
      <c r="W37" s="5">
        <f>IF(ABS(V37)&gt;2.5,"Sí","No")</f>
        <v/>
      </c>
    </row>
    <row r="38">
      <c r="A38" s="4" t="n">
        <v>26195030</v>
      </c>
      <c r="B38" s="4" t="inlineStr">
        <is>
          <t>Jardin El</t>
        </is>
      </c>
      <c r="C38" s="4" t="inlineStr">
        <is>
          <t>Jardin</t>
        </is>
      </c>
      <c r="D38" s="4" t="n">
        <v>2005</v>
      </c>
      <c r="E38" s="4" t="n">
        <v>21.90570175438596</v>
      </c>
      <c r="F38" s="4" t="n">
        <v>13.40921052631579</v>
      </c>
      <c r="G38" s="4" t="n">
        <v>17.05526315789474</v>
      </c>
      <c r="H38" s="4">
        <f>(E38+F38)/2</f>
        <v/>
      </c>
      <c r="I38" s="5">
        <f>Regresiones!$C$2+Regresiones!$D$2*D38</f>
        <v/>
      </c>
      <c r="J38" s="5">
        <f>E38-I38</f>
        <v/>
      </c>
      <c r="K38" s="5">
        <f>1/COUNT($D$2:$D$48)+(D38-AVERAGE($D$2:$D$48))^2/DEVSQ($D$2:$D$48)</f>
        <v/>
      </c>
      <c r="L38" s="5">
        <f>J38/(Regresiones!$J$2*SQRT(1-K38))</f>
        <v/>
      </c>
      <c r="M38" s="5">
        <f>IF(ABS(L38)&gt;2.5,"Sí","No")</f>
        <v/>
      </c>
      <c r="N38" s="5">
        <f>Regresiones!$C$3+Regresiones!$D$3*D38</f>
        <v/>
      </c>
      <c r="O38" s="5">
        <f>F38-N38</f>
        <v/>
      </c>
      <c r="P38" s="5">
        <f>1/COUNT($D$2:$D$48)+(D38-AVERAGE($D$2:$D$48))^2/DEVSQ($D$2:$D$48)</f>
        <v/>
      </c>
      <c r="Q38" s="5">
        <f>O38/(Regresiones!$J$3*SQRT(1-P38))</f>
        <v/>
      </c>
      <c r="R38" s="5">
        <f>IF(ABS(Q38)&gt;2.5,"Sí","No")</f>
        <v/>
      </c>
      <c r="S38" s="5">
        <f>Regresiones!$C$4+Regresiones!$D$4*D38</f>
        <v/>
      </c>
      <c r="T38" s="5">
        <f>G38-S38</f>
        <v/>
      </c>
      <c r="U38" s="5">
        <f>1/COUNT($D$2:$D$48)+(D38-AVERAGE($D$2:$D$48))^2/DEVSQ($D$2:$D$48)</f>
        <v/>
      </c>
      <c r="V38" s="5">
        <f>T38/(Regresiones!$J$4*SQRT(1-U38))</f>
        <v/>
      </c>
      <c r="W38" s="5">
        <f>IF(ABS(V38)&gt;2.5,"Sí","No")</f>
        <v/>
      </c>
    </row>
    <row r="39">
      <c r="A39" s="4" t="n">
        <v>26155110</v>
      </c>
      <c r="B39" s="4" t="inlineStr">
        <is>
          <t>Apto La Nubia</t>
        </is>
      </c>
      <c r="C39" s="4" t="inlineStr">
        <is>
          <t>Manizales</t>
        </is>
      </c>
      <c r="D39" s="4" t="n">
        <v>2058</v>
      </c>
      <c r="E39" s="4" t="n">
        <v>21.34333814333814</v>
      </c>
      <c r="F39" s="4" t="n">
        <v>12.44810606060606</v>
      </c>
      <c r="G39" s="4" t="n">
        <v>17.00454545454545</v>
      </c>
      <c r="H39" s="4">
        <f>(E39+F39)/2</f>
        <v/>
      </c>
      <c r="I39" s="5">
        <f>Regresiones!$C$2+Regresiones!$D$2*D39</f>
        <v/>
      </c>
      <c r="J39" s="5">
        <f>E39-I39</f>
        <v/>
      </c>
      <c r="K39" s="5">
        <f>1/COUNT($D$2:$D$48)+(D39-AVERAGE($D$2:$D$48))^2/DEVSQ($D$2:$D$48)</f>
        <v/>
      </c>
      <c r="L39" s="5">
        <f>J39/(Regresiones!$J$2*SQRT(1-K39))</f>
        <v/>
      </c>
      <c r="M39" s="5">
        <f>IF(ABS(L39)&gt;2.5,"Sí","No")</f>
        <v/>
      </c>
      <c r="N39" s="5">
        <f>Regresiones!$C$3+Regresiones!$D$3*D39</f>
        <v/>
      </c>
      <c r="O39" s="5">
        <f>F39-N39</f>
        <v/>
      </c>
      <c r="P39" s="5">
        <f>1/COUNT($D$2:$D$48)+(D39-AVERAGE($D$2:$D$48))^2/DEVSQ($D$2:$D$48)</f>
        <v/>
      </c>
      <c r="Q39" s="5">
        <f>O39/(Regresiones!$J$3*SQRT(1-P39))</f>
        <v/>
      </c>
      <c r="R39" s="5">
        <f>IF(ABS(Q39)&gt;2.5,"Sí","No")</f>
        <v/>
      </c>
      <c r="S39" s="5">
        <f>Regresiones!$C$4+Regresiones!$D$4*D39</f>
        <v/>
      </c>
      <c r="T39" s="5">
        <f>G39-S39</f>
        <v/>
      </c>
      <c r="U39" s="5">
        <f>1/COUNT($D$2:$D$48)+(D39-AVERAGE($D$2:$D$48))^2/DEVSQ($D$2:$D$48)</f>
        <v/>
      </c>
      <c r="V39" s="5">
        <f>T39/(Regresiones!$J$4*SQRT(1-U39))</f>
        <v/>
      </c>
      <c r="W39" s="5">
        <f>IF(ABS(V39)&gt;2.5,"Sí","No")</f>
        <v/>
      </c>
    </row>
    <row r="40">
      <c r="A40" s="4" t="n">
        <v>11025010</v>
      </c>
      <c r="B40" s="4" t="inlineStr">
        <is>
          <t>Mansa La</t>
        </is>
      </c>
      <c r="C40" s="4" t="inlineStr">
        <is>
          <t>Ciudad Bolivar</t>
        </is>
      </c>
      <c r="D40" s="4" t="n">
        <v>2100</v>
      </c>
      <c r="E40" s="4" t="n">
        <v>21.03809523809524</v>
      </c>
      <c r="F40" s="4" t="n">
        <v>12.99375653082549</v>
      </c>
      <c r="G40" s="4" t="n">
        <v>16.75759090909091</v>
      </c>
      <c r="H40" s="4">
        <f>(E40+F40)/2</f>
        <v/>
      </c>
      <c r="I40" s="5">
        <f>Regresiones!$C$2+Regresiones!$D$2*D40</f>
        <v/>
      </c>
      <c r="J40" s="5">
        <f>E40-I40</f>
        <v/>
      </c>
      <c r="K40" s="5">
        <f>1/COUNT($D$2:$D$48)+(D40-AVERAGE($D$2:$D$48))^2/DEVSQ($D$2:$D$48)</f>
        <v/>
      </c>
      <c r="L40" s="5">
        <f>J40/(Regresiones!$J$2*SQRT(1-K40))</f>
        <v/>
      </c>
      <c r="M40" s="5">
        <f>IF(ABS(L40)&gt;2.5,"Sí","No")</f>
        <v/>
      </c>
      <c r="N40" s="5">
        <f>Regresiones!$C$3+Regresiones!$D$3*D40</f>
        <v/>
      </c>
      <c r="O40" s="5">
        <f>F40-N40</f>
        <v/>
      </c>
      <c r="P40" s="5">
        <f>1/COUNT($D$2:$D$48)+(D40-AVERAGE($D$2:$D$48))^2/DEVSQ($D$2:$D$48)</f>
        <v/>
      </c>
      <c r="Q40" s="5">
        <f>O40/(Regresiones!$J$3*SQRT(1-P40))</f>
        <v/>
      </c>
      <c r="R40" s="5">
        <f>IF(ABS(Q40)&gt;2.5,"Sí","No")</f>
        <v/>
      </c>
      <c r="S40" s="5">
        <f>Regresiones!$C$4+Regresiones!$D$4*D40</f>
        <v/>
      </c>
      <c r="T40" s="5">
        <f>G40-S40</f>
        <v/>
      </c>
      <c r="U40" s="5">
        <f>1/COUNT($D$2:$D$48)+(D40-AVERAGE($D$2:$D$48))^2/DEVSQ($D$2:$D$48)</f>
        <v/>
      </c>
      <c r="V40" s="5">
        <f>T40/(Regresiones!$J$4*SQRT(1-U40))</f>
        <v/>
      </c>
      <c r="W40" s="5">
        <f>IF(ABS(V40)&gt;2.5,"Sí","No")</f>
        <v/>
      </c>
    </row>
    <row r="41">
      <c r="A41" s="4" t="n">
        <v>26135070</v>
      </c>
      <c r="B41" s="4" t="inlineStr">
        <is>
          <t>Cedral El</t>
        </is>
      </c>
      <c r="C41" s="4" t="inlineStr">
        <is>
          <t>Pereira</t>
        </is>
      </c>
      <c r="D41" s="4" t="n">
        <v>2120</v>
      </c>
      <c r="E41" s="4" t="n">
        <v>19.54393939393939</v>
      </c>
      <c r="F41" s="4" t="n">
        <v>11.46818181818182</v>
      </c>
      <c r="G41" s="4" t="n">
        <v>15.1810606060606</v>
      </c>
      <c r="H41" s="4">
        <f>(E41+F41)/2</f>
        <v/>
      </c>
      <c r="I41" s="6">
        <f>Regresiones!$C$2+Regresiones!$D$2*D41</f>
        <v/>
      </c>
      <c r="J41" s="6">
        <f>E41-I41</f>
        <v/>
      </c>
      <c r="K41" s="6">
        <f>1/COUNT($D$2:$D$48)+(D41-AVERAGE($D$2:$D$48))^2/DEVSQ($D$2:$D$48)</f>
        <v/>
      </c>
      <c r="L41" s="6">
        <f>J41/(Regresiones!$J$2*SQRT(1-K41))</f>
        <v/>
      </c>
      <c r="M41" s="6">
        <f>IF(ABS(L41)&gt;2.5,"Sí","No")</f>
        <v/>
      </c>
      <c r="N41" s="5">
        <f>Regresiones!$C$3+Regresiones!$D$3*D41</f>
        <v/>
      </c>
      <c r="O41" s="5">
        <f>F41-N41</f>
        <v/>
      </c>
      <c r="P41" s="5">
        <f>1/COUNT($D$2:$D$48)+(D41-AVERAGE($D$2:$D$48))^2/DEVSQ($D$2:$D$48)</f>
        <v/>
      </c>
      <c r="Q41" s="5">
        <f>O41/(Regresiones!$J$3*SQRT(1-P41))</f>
        <v/>
      </c>
      <c r="R41" s="5">
        <f>IF(ABS(Q41)&gt;2.5,"Sí","No")</f>
        <v/>
      </c>
      <c r="S41" s="5">
        <f>Regresiones!$C$4+Regresiones!$D$4*D41</f>
        <v/>
      </c>
      <c r="T41" s="5">
        <f>G41-S41</f>
        <v/>
      </c>
      <c r="U41" s="5">
        <f>1/COUNT($D$2:$D$48)+(D41-AVERAGE($D$2:$D$48))^2/DEVSQ($D$2:$D$48)</f>
        <v/>
      </c>
      <c r="V41" s="5">
        <f>T41/(Regresiones!$J$4*SQRT(1-U41))</f>
        <v/>
      </c>
      <c r="W41" s="5">
        <f>IF(ABS(V41)&gt;2.5,"Sí","No")</f>
        <v/>
      </c>
    </row>
    <row r="42">
      <c r="A42" s="4" t="n">
        <v>26185010</v>
      </c>
      <c r="B42" s="4" t="inlineStr">
        <is>
          <t>Pelada La</t>
        </is>
      </c>
      <c r="C42" s="4" t="inlineStr">
        <is>
          <t>Aguadas</t>
        </is>
      </c>
      <c r="D42" s="4" t="n">
        <v>2180</v>
      </c>
      <c r="E42" s="4" t="n">
        <v>21.52631868131868</v>
      </c>
      <c r="F42" s="4" t="n">
        <v>12.25299145299145</v>
      </c>
      <c r="G42" s="4" t="n">
        <v>16.71346153846154</v>
      </c>
      <c r="H42" s="4">
        <f>(E42+F42)/2</f>
        <v/>
      </c>
      <c r="I42" s="5">
        <f>Regresiones!$C$2+Regresiones!$D$2*D42</f>
        <v/>
      </c>
      <c r="J42" s="5">
        <f>E42-I42</f>
        <v/>
      </c>
      <c r="K42" s="5">
        <f>1/COUNT($D$2:$D$48)+(D42-AVERAGE($D$2:$D$48))^2/DEVSQ($D$2:$D$48)</f>
        <v/>
      </c>
      <c r="L42" s="5">
        <f>J42/(Regresiones!$J$2*SQRT(1-K42))</f>
        <v/>
      </c>
      <c r="M42" s="5">
        <f>IF(ABS(L42)&gt;2.5,"Sí","No")</f>
        <v/>
      </c>
      <c r="N42" s="5">
        <f>Regresiones!$C$3+Regresiones!$D$3*D42</f>
        <v/>
      </c>
      <c r="O42" s="5">
        <f>F42-N42</f>
        <v/>
      </c>
      <c r="P42" s="5">
        <f>1/COUNT($D$2:$D$48)+(D42-AVERAGE($D$2:$D$48))^2/DEVSQ($D$2:$D$48)</f>
        <v/>
      </c>
      <c r="Q42" s="5">
        <f>O42/(Regresiones!$J$3*SQRT(1-P42))</f>
        <v/>
      </c>
      <c r="R42" s="5">
        <f>IF(ABS(Q42)&gt;2.5,"Sí","No")</f>
        <v/>
      </c>
      <c r="S42" s="5">
        <f>Regresiones!$C$4+Regresiones!$D$4*D42</f>
        <v/>
      </c>
      <c r="T42" s="5">
        <f>G42-S42</f>
        <v/>
      </c>
      <c r="U42" s="5">
        <f>1/COUNT($D$2:$D$48)+(D42-AVERAGE($D$2:$D$48))^2/DEVSQ($D$2:$D$48)</f>
        <v/>
      </c>
      <c r="V42" s="5">
        <f>T42/(Regresiones!$J$4*SQRT(1-U42))</f>
        <v/>
      </c>
      <c r="W42" s="5">
        <f>IF(ABS(V42)&gt;2.5,"Sí","No")</f>
        <v/>
      </c>
    </row>
    <row r="43">
      <c r="A43" s="4" t="n">
        <v>26185020</v>
      </c>
      <c r="B43" s="4" t="inlineStr">
        <is>
          <t>Mesopotamia</t>
        </is>
      </c>
      <c r="C43" s="4" t="inlineStr">
        <is>
          <t>La Union</t>
        </is>
      </c>
      <c r="D43" s="4" t="n">
        <v>2314</v>
      </c>
      <c r="E43" s="4" t="n">
        <v>20.3981240981241</v>
      </c>
      <c r="F43" s="4" t="n">
        <v>10.14332298136646</v>
      </c>
      <c r="G43" s="4" t="n">
        <v>14.86723985890652</v>
      </c>
      <c r="H43" s="4">
        <f>(E43+F43)/2</f>
        <v/>
      </c>
      <c r="I43" s="5">
        <f>Regresiones!$C$2+Regresiones!$D$2*D43</f>
        <v/>
      </c>
      <c r="J43" s="5">
        <f>E43-I43</f>
        <v/>
      </c>
      <c r="K43" s="5">
        <f>1/COUNT($D$2:$D$48)+(D43-AVERAGE($D$2:$D$48))^2/DEVSQ($D$2:$D$48)</f>
        <v/>
      </c>
      <c r="L43" s="5">
        <f>J43/(Regresiones!$J$2*SQRT(1-K43))</f>
        <v/>
      </c>
      <c r="M43" s="5">
        <f>IF(ABS(L43)&gt;2.5,"Sí","No")</f>
        <v/>
      </c>
      <c r="N43" s="5">
        <f>Regresiones!$C$3+Regresiones!$D$3*D43</f>
        <v/>
      </c>
      <c r="O43" s="5">
        <f>F43-N43</f>
        <v/>
      </c>
      <c r="P43" s="5">
        <f>1/COUNT($D$2:$D$48)+(D43-AVERAGE($D$2:$D$48))^2/DEVSQ($D$2:$D$48)</f>
        <v/>
      </c>
      <c r="Q43" s="5">
        <f>O43/(Regresiones!$J$3*SQRT(1-P43))</f>
        <v/>
      </c>
      <c r="R43" s="5">
        <f>IF(ABS(Q43)&gt;2.5,"Sí","No")</f>
        <v/>
      </c>
      <c r="S43" s="5">
        <f>Regresiones!$C$4+Regresiones!$D$4*D43</f>
        <v/>
      </c>
      <c r="T43" s="5">
        <f>G43-S43</f>
        <v/>
      </c>
      <c r="U43" s="5">
        <f>1/COUNT($D$2:$D$48)+(D43-AVERAGE($D$2:$D$48))^2/DEVSQ($D$2:$D$48)</f>
        <v/>
      </c>
      <c r="V43" s="5">
        <f>T43/(Regresiones!$J$4*SQRT(1-U43))</f>
        <v/>
      </c>
      <c r="W43" s="5">
        <f>IF(ABS(V43)&gt;2.5,"Sí","No")</f>
        <v/>
      </c>
    </row>
    <row r="44">
      <c r="A44" s="4" t="n">
        <v>26095080</v>
      </c>
      <c r="B44" s="4" t="inlineStr">
        <is>
          <t>Tenerife</t>
        </is>
      </c>
      <c r="C44" s="4" t="inlineStr">
        <is>
          <t>El Cerrito</t>
        </is>
      </c>
      <c r="D44" s="4" t="n">
        <v>2609</v>
      </c>
      <c r="E44" s="4" t="n">
        <v>17.72504251700681</v>
      </c>
      <c r="F44" s="4" t="n">
        <v>10.01101398601399</v>
      </c>
      <c r="G44" s="4" t="n">
        <v>13.63922558922559</v>
      </c>
      <c r="H44" s="4">
        <f>(E44+F44)/2</f>
        <v/>
      </c>
      <c r="I44" s="5">
        <f>Regresiones!$C$2+Regresiones!$D$2*D44</f>
        <v/>
      </c>
      <c r="J44" s="5">
        <f>E44-I44</f>
        <v/>
      </c>
      <c r="K44" s="5">
        <f>1/COUNT($D$2:$D$48)+(D44-AVERAGE($D$2:$D$48))^2/DEVSQ($D$2:$D$48)</f>
        <v/>
      </c>
      <c r="L44" s="5">
        <f>J44/(Regresiones!$J$2*SQRT(1-K44))</f>
        <v/>
      </c>
      <c r="M44" s="5">
        <f>IF(ABS(L44)&gt;2.5,"Sí","No")</f>
        <v/>
      </c>
      <c r="N44" s="5">
        <f>Regresiones!$C$3+Regresiones!$D$3*D44</f>
        <v/>
      </c>
      <c r="O44" s="5">
        <f>F44-N44</f>
        <v/>
      </c>
      <c r="P44" s="5">
        <f>1/COUNT($D$2:$D$48)+(D44-AVERAGE($D$2:$D$48))^2/DEVSQ($D$2:$D$48)</f>
        <v/>
      </c>
      <c r="Q44" s="5">
        <f>O44/(Regresiones!$J$3*SQRT(1-P44))</f>
        <v/>
      </c>
      <c r="R44" s="5">
        <f>IF(ABS(Q44)&gt;2.5,"Sí","No")</f>
        <v/>
      </c>
      <c r="S44" s="5">
        <f>Regresiones!$C$4+Regresiones!$D$4*D44</f>
        <v/>
      </c>
      <c r="T44" s="5">
        <f>G44-S44</f>
        <v/>
      </c>
      <c r="U44" s="5">
        <f>1/COUNT($D$2:$D$48)+(D44-AVERAGE($D$2:$D$48))^2/DEVSQ($D$2:$D$48)</f>
        <v/>
      </c>
      <c r="V44" s="5">
        <f>T44/(Regresiones!$J$4*SQRT(1-U44))</f>
        <v/>
      </c>
      <c r="W44" s="5">
        <f>IF(ABS(V44)&gt;2.5,"Sí","No")</f>
        <v/>
      </c>
    </row>
    <row r="45">
      <c r="A45" s="4" t="n">
        <v>26185040</v>
      </c>
      <c r="B45" s="4" t="inlineStr">
        <is>
          <t>San Felix</t>
        </is>
      </c>
      <c r="C45" s="4" t="inlineStr">
        <is>
          <t>Salamina</t>
        </is>
      </c>
      <c r="D45" s="4" t="n">
        <v>2696</v>
      </c>
      <c r="E45" s="4" t="n">
        <v>16.63653278819946</v>
      </c>
      <c r="F45" s="4" t="n">
        <v>6.087131261595547</v>
      </c>
      <c r="G45" s="4" t="n">
        <v>11.37300479282622</v>
      </c>
      <c r="H45" s="4">
        <f>(E45+F45)/2</f>
        <v/>
      </c>
      <c r="I45" s="5">
        <f>Regresiones!$C$2+Regresiones!$D$2*D45</f>
        <v/>
      </c>
      <c r="J45" s="5">
        <f>E45-I45</f>
        <v/>
      </c>
      <c r="K45" s="5">
        <f>1/COUNT($D$2:$D$48)+(D45-AVERAGE($D$2:$D$48))^2/DEVSQ($D$2:$D$48)</f>
        <v/>
      </c>
      <c r="L45" s="5">
        <f>J45/(Regresiones!$J$2*SQRT(1-K45))</f>
        <v/>
      </c>
      <c r="M45" s="5">
        <f>IF(ABS(L45)&gt;2.5,"Sí","No")</f>
        <v/>
      </c>
      <c r="N45" s="6">
        <f>Regresiones!$C$3+Regresiones!$D$3*D45</f>
        <v/>
      </c>
      <c r="O45" s="6">
        <f>F45-N45</f>
        <v/>
      </c>
      <c r="P45" s="6">
        <f>1/COUNT($D$2:$D$48)+(D45-AVERAGE($D$2:$D$48))^2/DEVSQ($D$2:$D$48)</f>
        <v/>
      </c>
      <c r="Q45" s="6">
        <f>O45/(Regresiones!$J$3*SQRT(1-P45))</f>
        <v/>
      </c>
      <c r="R45" s="6">
        <f>IF(ABS(Q45)&gt;2.5,"Sí","No")</f>
        <v/>
      </c>
      <c r="S45" s="6">
        <f>Regresiones!$C$4+Regresiones!$D$4*D45</f>
        <v/>
      </c>
      <c r="T45" s="6">
        <f>G45-S45</f>
        <v/>
      </c>
      <c r="U45" s="6">
        <f>1/COUNT($D$2:$D$48)+(D45-AVERAGE($D$2:$D$48))^2/DEVSQ($D$2:$D$48)</f>
        <v/>
      </c>
      <c r="V45" s="6">
        <f>T45/(Regresiones!$J$4*SQRT(1-U45))</f>
        <v/>
      </c>
      <c r="W45" s="6">
        <f>IF(ABS(V45)&gt;2.5,"Sí","No")</f>
        <v/>
      </c>
    </row>
    <row r="46">
      <c r="A46" s="4" t="n">
        <v>26105140</v>
      </c>
      <c r="B46" s="4" t="inlineStr">
        <is>
          <t>Barragan</t>
        </is>
      </c>
      <c r="C46" s="4" t="inlineStr">
        <is>
          <t>Tulua</t>
        </is>
      </c>
      <c r="D46" s="4" t="n">
        <v>2902</v>
      </c>
      <c r="E46" s="4" t="n">
        <v>16.04325441919192</v>
      </c>
      <c r="F46" s="4" t="n">
        <v>7.588333333333334</v>
      </c>
      <c r="G46" s="4" t="n">
        <v>11.73777777777778</v>
      </c>
      <c r="H46" s="4">
        <f>(E46+F46)/2</f>
        <v/>
      </c>
      <c r="I46" s="5">
        <f>Regresiones!$C$2+Regresiones!$D$2*D46</f>
        <v/>
      </c>
      <c r="J46" s="5">
        <f>E46-I46</f>
        <v/>
      </c>
      <c r="K46" s="5">
        <f>1/COUNT($D$2:$D$48)+(D46-AVERAGE($D$2:$D$48))^2/DEVSQ($D$2:$D$48)</f>
        <v/>
      </c>
      <c r="L46" s="5">
        <f>J46/(Regresiones!$J$2*SQRT(1-K46))</f>
        <v/>
      </c>
      <c r="M46" s="5">
        <f>IF(ABS(L46)&gt;2.5,"Sí","No")</f>
        <v/>
      </c>
      <c r="N46" s="5">
        <f>Regresiones!$C$3+Regresiones!$D$3*D46</f>
        <v/>
      </c>
      <c r="O46" s="5">
        <f>F46-N46</f>
        <v/>
      </c>
      <c r="P46" s="5">
        <f>1/COUNT($D$2:$D$48)+(D46-AVERAGE($D$2:$D$48))^2/DEVSQ($D$2:$D$48)</f>
        <v/>
      </c>
      <c r="Q46" s="5">
        <f>O46/(Regresiones!$J$3*SQRT(1-P46))</f>
        <v/>
      </c>
      <c r="R46" s="5">
        <f>IF(ABS(Q46)&gt;2.5,"Sí","No")</f>
        <v/>
      </c>
      <c r="S46" s="5">
        <f>Regresiones!$C$4+Regresiones!$D$4*D46</f>
        <v/>
      </c>
      <c r="T46" s="5">
        <f>G46-S46</f>
        <v/>
      </c>
      <c r="U46" s="5">
        <f>1/COUNT($D$2:$D$48)+(D46-AVERAGE($D$2:$D$48))^2/DEVSQ($D$2:$D$48)</f>
        <v/>
      </c>
      <c r="V46" s="5">
        <f>T46/(Regresiones!$J$4*SQRT(1-U46))</f>
        <v/>
      </c>
      <c r="W46" s="5">
        <f>IF(ABS(V46)&gt;2.5,"Sí","No")</f>
        <v/>
      </c>
    </row>
    <row r="47">
      <c r="A47" s="4" t="n">
        <v>26025070</v>
      </c>
      <c r="B47" s="4" t="inlineStr">
        <is>
          <t>Gabriel Lopez</t>
        </is>
      </c>
      <c r="C47" s="4" t="inlineStr">
        <is>
          <t>Totoro</t>
        </is>
      </c>
      <c r="D47" s="4" t="n">
        <v>3000</v>
      </c>
      <c r="E47" s="4" t="n">
        <v>15.15520833333333</v>
      </c>
      <c r="F47" s="4" t="n">
        <v>6.199999999999998</v>
      </c>
      <c r="G47" s="4" t="n">
        <v>10.40888888888889</v>
      </c>
      <c r="H47" s="4">
        <f>(E47+F47)/2</f>
        <v/>
      </c>
      <c r="I47" s="5">
        <f>Regresiones!$C$2+Regresiones!$D$2*D47</f>
        <v/>
      </c>
      <c r="J47" s="5">
        <f>E47-I47</f>
        <v/>
      </c>
      <c r="K47" s="5">
        <f>1/COUNT($D$2:$D$48)+(D47-AVERAGE($D$2:$D$48))^2/DEVSQ($D$2:$D$48)</f>
        <v/>
      </c>
      <c r="L47" s="5">
        <f>J47/(Regresiones!$J$2*SQRT(1-K47))</f>
        <v/>
      </c>
      <c r="M47" s="5">
        <f>IF(ABS(L47)&gt;2.5,"Sí","No")</f>
        <v/>
      </c>
      <c r="N47" s="5">
        <f>Regresiones!$C$3+Regresiones!$D$3*D47</f>
        <v/>
      </c>
      <c r="O47" s="5">
        <f>F47-N47</f>
        <v/>
      </c>
      <c r="P47" s="5">
        <f>1/COUNT($D$2:$D$48)+(D47-AVERAGE($D$2:$D$48))^2/DEVSQ($D$2:$D$48)</f>
        <v/>
      </c>
      <c r="Q47" s="5">
        <f>O47/(Regresiones!$J$3*SQRT(1-P47))</f>
        <v/>
      </c>
      <c r="R47" s="5">
        <f>IF(ABS(Q47)&gt;2.5,"Sí","No")</f>
        <v/>
      </c>
      <c r="S47" s="5">
        <f>Regresiones!$C$4+Regresiones!$D$4*D47</f>
        <v/>
      </c>
      <c r="T47" s="5">
        <f>G47-S47</f>
        <v/>
      </c>
      <c r="U47" s="5">
        <f>1/COUNT($D$2:$D$48)+(D47-AVERAGE($D$2:$D$48))^2/DEVSQ($D$2:$D$48)</f>
        <v/>
      </c>
      <c r="V47" s="5">
        <f>T47/(Regresiones!$J$4*SQRT(1-U47))</f>
        <v/>
      </c>
      <c r="W47" s="5">
        <f>IF(ABS(V47)&gt;2.5,"Sí","No")</f>
        <v/>
      </c>
    </row>
    <row r="48">
      <c r="A48" s="4" t="n">
        <v>26155150</v>
      </c>
      <c r="B48" s="4" t="inlineStr">
        <is>
          <t>Brisas Las</t>
        </is>
      </c>
      <c r="C48" s="4" t="inlineStr">
        <is>
          <t>Villamaria</t>
        </is>
      </c>
      <c r="D48" s="4" t="n">
        <v>4150</v>
      </c>
      <c r="E48" s="4" t="n">
        <v>8.432222222222222</v>
      </c>
      <c r="F48" s="4" t="n">
        <v>1.232614942528736</v>
      </c>
      <c r="G48" s="4" t="n">
        <v>4.636264367816091</v>
      </c>
      <c r="H48" s="4">
        <f>(E48+F48)/2</f>
        <v/>
      </c>
      <c r="I48" s="6">
        <f>Regresiones!$C$2+Regresiones!$D$2*D48</f>
        <v/>
      </c>
      <c r="J48" s="6">
        <f>E48-I48</f>
        <v/>
      </c>
      <c r="K48" s="6">
        <f>1/COUNT($D$2:$D$48)+(D48-AVERAGE($D$2:$D$48))^2/DEVSQ($D$2:$D$48)</f>
        <v/>
      </c>
      <c r="L48" s="6">
        <f>J48/(Regresiones!$J$2*SQRT(1-K48))</f>
        <v/>
      </c>
      <c r="M48" s="6">
        <f>IF(ABS(L48)&gt;2.5,"Sí","No")</f>
        <v/>
      </c>
      <c r="N48" s="5">
        <f>Regresiones!$C$3+Regresiones!$D$3*D48</f>
        <v/>
      </c>
      <c r="O48" s="5">
        <f>F48-N48</f>
        <v/>
      </c>
      <c r="P48" s="5">
        <f>1/COUNT($D$2:$D$48)+(D48-AVERAGE($D$2:$D$48))^2/DEVSQ($D$2:$D$48)</f>
        <v/>
      </c>
      <c r="Q48" s="5">
        <f>O48/(Regresiones!$J$3*SQRT(1-P48))</f>
        <v/>
      </c>
      <c r="R48" s="5">
        <f>IF(ABS(Q48)&gt;2.5,"Sí","No")</f>
        <v/>
      </c>
      <c r="S48" s="6">
        <f>Regresiones!$C$4+Regresiones!$D$4*D48</f>
        <v/>
      </c>
      <c r="T48" s="6">
        <f>G48-S48</f>
        <v/>
      </c>
      <c r="U48" s="6">
        <f>1/COUNT($D$2:$D$48)+(D48-AVERAGE($D$2:$D$48))^2/DEVSQ($D$2:$D$48)</f>
        <v/>
      </c>
      <c r="V48" s="6">
        <f>T48/(Regresiones!$J$4*SQRT(1-U48))</f>
        <v/>
      </c>
      <c r="W48" s="6">
        <f>IF(ABS(V48)&gt;2.5,"Sí","No")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2" customWidth="1" min="4" max="4"/>
    <col width="13" customWidth="1" min="5" max="5"/>
    <col width="10" customWidth="1" min="6" max="6"/>
    <col width="13" customWidth="1" min="7" max="7"/>
    <col width="18" customWidth="1" min="8" max="8"/>
    <col width="11" customWidth="1" min="9" max="9"/>
    <col width="13" customWidth="1" min="10" max="10"/>
    <col width="32" customWidth="1" min="11" max="11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a = T0 (°C)</t>
        </is>
      </c>
      <c r="D1" s="2" t="inlineStr">
        <is>
          <t>b (°C/m)</t>
        </is>
      </c>
      <c r="E1" s="2" t="inlineStr">
        <is>
          <t>α = −b (°C/m)</t>
        </is>
      </c>
      <c r="F1" s="2" t="inlineStr">
        <is>
          <t>α (°C/km)</t>
        </is>
      </c>
      <c r="G1" s="2" t="inlineStr">
        <is>
          <t>R² (COEFICIENTE.R2)</t>
        </is>
      </c>
      <c r="H1" s="2" t="inlineStr">
        <is>
          <t>R² Anexo 1 = 1 − Σe²/Σ(T−T̄)²</t>
        </is>
      </c>
      <c r="I1" s="2" t="inlineStr">
        <is>
          <t>r (Pearson)</t>
        </is>
      </c>
      <c r="J1" s="2" t="inlineStr">
        <is>
          <t>Error típico s (°C)</t>
        </is>
      </c>
      <c r="K1" s="2" t="inlineStr">
        <is>
          <t>Ecuación</t>
        </is>
      </c>
    </row>
    <row r="2">
      <c r="A2" s="4" t="inlineStr">
        <is>
          <t>Tmax</t>
        </is>
      </c>
      <c r="B2" s="4">
        <f>COUNT(Datos_anuales!$E$2:$E$48)</f>
        <v/>
      </c>
      <c r="C2" s="5">
        <f>INTERCEPT(Datos_anuales!$E$2:$E$48,Datos_anuales!$D$2:$D$48)</f>
        <v/>
      </c>
      <c r="D2" s="7">
        <f>SLOPE(Datos_anuales!$E$2:$E$48,Datos_anuales!$D$2:$D$48)</f>
        <v/>
      </c>
      <c r="E2" s="7">
        <f>-D2</f>
        <v/>
      </c>
      <c r="F2" s="8">
        <f>1000*E2</f>
        <v/>
      </c>
      <c r="G2" s="5">
        <f>RSQ(Datos_anuales!$E$2:$E$48,Datos_anuales!$D$2:$D$48)</f>
        <v/>
      </c>
      <c r="H2" s="5">
        <f>1-SUMSQ(Datos_anuales!$J$2:$J$48)/DEVSQ(Datos_anuales!$E$2:$E$48)</f>
        <v/>
      </c>
      <c r="I2" s="5">
        <f>CORREL(Datos_anuales!$E$2:$E$48,Datos_anuales!$D$2:$D$48)</f>
        <v/>
      </c>
      <c r="J2" s="5">
        <f>STEYX(Datos_anuales!$E$2:$E$48,Datos_anuales!$D$2:$D$48)</f>
        <v/>
      </c>
      <c r="K2" s="4">
        <f>"Tmax = "&amp;TEXT(C2,"0.00")&amp;" − "&amp;TEXT(E2,"0.00000")&amp;"·Z"</f>
        <v/>
      </c>
    </row>
    <row r="3">
      <c r="A3" s="4" t="inlineStr">
        <is>
          <t>Tmin</t>
        </is>
      </c>
      <c r="B3" s="4">
        <f>COUNT(Datos_anuales!$F$2:$F$48)</f>
        <v/>
      </c>
      <c r="C3" s="5">
        <f>INTERCEPT(Datos_anuales!$F$2:$F$48,Datos_anuales!$D$2:$D$48)</f>
        <v/>
      </c>
      <c r="D3" s="7">
        <f>SLOPE(Datos_anuales!$F$2:$F$48,Datos_anuales!$D$2:$D$48)</f>
        <v/>
      </c>
      <c r="E3" s="7">
        <f>-D3</f>
        <v/>
      </c>
      <c r="F3" s="8">
        <f>1000*E3</f>
        <v/>
      </c>
      <c r="G3" s="5">
        <f>RSQ(Datos_anuales!$F$2:$F$48,Datos_anuales!$D$2:$D$48)</f>
        <v/>
      </c>
      <c r="H3" s="5">
        <f>1-SUMSQ(Datos_anuales!$O$2:$O$48)/DEVSQ(Datos_anuales!$F$2:$F$48)</f>
        <v/>
      </c>
      <c r="I3" s="5">
        <f>CORREL(Datos_anuales!$F$2:$F$48,Datos_anuales!$D$2:$D$48)</f>
        <v/>
      </c>
      <c r="J3" s="5">
        <f>STEYX(Datos_anuales!$F$2:$F$48,Datos_anuales!$D$2:$D$48)</f>
        <v/>
      </c>
      <c r="K3" s="4">
        <f>"Tmin = "&amp;TEXT(C3,"0.00")&amp;" − "&amp;TEXT(E3,"0.00000")&amp;"·Z"</f>
        <v/>
      </c>
    </row>
    <row r="4">
      <c r="A4" s="4" t="inlineStr">
        <is>
          <t>Tmed</t>
        </is>
      </c>
      <c r="B4" s="4">
        <f>COUNT(Datos_anuales!$G$2:$G$48)</f>
        <v/>
      </c>
      <c r="C4" s="5">
        <f>INTERCEPT(Datos_anuales!$G$2:$G$48,Datos_anuales!$D$2:$D$48)</f>
        <v/>
      </c>
      <c r="D4" s="7">
        <f>SLOPE(Datos_anuales!$G$2:$G$48,Datos_anuales!$D$2:$D$48)</f>
        <v/>
      </c>
      <c r="E4" s="7">
        <f>-D4</f>
        <v/>
      </c>
      <c r="F4" s="8">
        <f>1000*E4</f>
        <v/>
      </c>
      <c r="G4" s="5">
        <f>RSQ(Datos_anuales!$G$2:$G$48,Datos_anuales!$D$2:$D$48)</f>
        <v/>
      </c>
      <c r="H4" s="5">
        <f>1-SUMSQ(Datos_anuales!$T$2:$T$48)/DEVSQ(Datos_anuales!$G$2:$G$48)</f>
        <v/>
      </c>
      <c r="I4" s="5">
        <f>CORREL(Datos_anuales!$G$2:$G$48,Datos_anuales!$D$2:$D$48)</f>
        <v/>
      </c>
      <c r="J4" s="5">
        <f>STEYX(Datos_anuales!$G$2:$G$48,Datos_anuales!$D$2:$D$48)</f>
        <v/>
      </c>
      <c r="K4" s="4">
        <f>"Tmed = "&amp;TEXT(C4,"0.00")&amp;" − "&amp;TEXT(E4,"0.00000")&amp;"·Z"</f>
        <v/>
      </c>
    </row>
    <row r="6">
      <c r="A6" s="1" t="inlineStr">
        <is>
          <t>Verificación (calculado en Python con numpy.polyfit)</t>
        </is>
      </c>
    </row>
    <row r="7">
      <c r="A7" s="2" t="inlineStr">
        <is>
          <t>Variable</t>
        </is>
      </c>
      <c r="B7" s="2" t="inlineStr">
        <is>
          <t>n</t>
        </is>
      </c>
      <c r="C7" s="2" t="inlineStr">
        <is>
          <t>T0 (°C)</t>
        </is>
      </c>
      <c r="D7" s="2" t="inlineStr">
        <is>
          <t>α (°C/km)</t>
        </is>
      </c>
      <c r="E7" s="2" t="inlineStr">
        <is>
          <t>R²</t>
        </is>
      </c>
    </row>
    <row r="8">
      <c r="A8" s="4" t="inlineStr">
        <is>
          <t>Tmax</t>
        </is>
      </c>
      <c r="B8" s="4" t="n">
        <v>47</v>
      </c>
      <c r="C8" s="4" t="n">
        <v>36.801</v>
      </c>
      <c r="D8" s="4" t="n">
        <v>7.282</v>
      </c>
      <c r="E8" s="4" t="n">
        <v>0.9822</v>
      </c>
    </row>
    <row r="9">
      <c r="A9" s="4" t="inlineStr">
        <is>
          <t>Tmin</t>
        </is>
      </c>
      <c r="B9" s="4" t="n">
        <v>47</v>
      </c>
      <c r="C9" s="4" t="n">
        <v>24.213</v>
      </c>
      <c r="D9" s="4" t="n">
        <v>5.654</v>
      </c>
      <c r="E9" s="4" t="n">
        <v>0.9638</v>
      </c>
    </row>
    <row r="10">
      <c r="A10" s="4" t="inlineStr">
        <is>
          <t>Tmed</t>
        </is>
      </c>
      <c r="B10" s="4" t="n">
        <v>47</v>
      </c>
      <c r="C10" s="4" t="n">
        <v>30.044</v>
      </c>
      <c r="D10" s="4" t="n">
        <v>6.399</v>
      </c>
      <c r="E10" s="4" t="n">
        <v>0.9863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2" t="inlineStr">
        <is>
          <t>Código</t>
        </is>
      </c>
      <c r="B1" s="2" t="inlineStr">
        <is>
          <t>Nombre</t>
        </is>
      </c>
      <c r="C1" s="2" t="inlineStr">
        <is>
          <t>Z (m)</t>
        </is>
      </c>
      <c r="D1" s="2" t="inlineStr">
        <is>
          <t>Tmax ENE</t>
        </is>
      </c>
      <c r="E1" s="2" t="inlineStr">
        <is>
          <t>Tmax FEB</t>
        </is>
      </c>
      <c r="F1" s="2" t="inlineStr">
        <is>
          <t>Tmax MAR</t>
        </is>
      </c>
      <c r="G1" s="2" t="inlineStr">
        <is>
          <t>Tmax ABR</t>
        </is>
      </c>
      <c r="H1" s="2" t="inlineStr">
        <is>
          <t>Tmax MAY</t>
        </is>
      </c>
      <c r="I1" s="2" t="inlineStr">
        <is>
          <t>Tmax JUN</t>
        </is>
      </c>
      <c r="J1" s="2" t="inlineStr">
        <is>
          <t>Tmax JUL</t>
        </is>
      </c>
      <c r="K1" s="2" t="inlineStr">
        <is>
          <t>Tmax AGO</t>
        </is>
      </c>
      <c r="L1" s="2" t="inlineStr">
        <is>
          <t>Tmax SEP</t>
        </is>
      </c>
      <c r="M1" s="2" t="inlineStr">
        <is>
          <t>Tmax OCT</t>
        </is>
      </c>
      <c r="N1" s="2" t="inlineStr">
        <is>
          <t>Tmax NOV</t>
        </is>
      </c>
      <c r="O1" s="2" t="inlineStr">
        <is>
          <t>Tmax DIC</t>
        </is>
      </c>
      <c r="P1" s="2" t="inlineStr">
        <is>
          <t>Tmin ENE</t>
        </is>
      </c>
      <c r="Q1" s="2" t="inlineStr">
        <is>
          <t>Tmin FEB</t>
        </is>
      </c>
      <c r="R1" s="2" t="inlineStr">
        <is>
          <t>Tmin MAR</t>
        </is>
      </c>
      <c r="S1" s="2" t="inlineStr">
        <is>
          <t>Tmin ABR</t>
        </is>
      </c>
      <c r="T1" s="2" t="inlineStr">
        <is>
          <t>Tmin MAY</t>
        </is>
      </c>
      <c r="U1" s="2" t="inlineStr">
        <is>
          <t>Tmin JUN</t>
        </is>
      </c>
      <c r="V1" s="2" t="inlineStr">
        <is>
          <t>Tmin JUL</t>
        </is>
      </c>
      <c r="W1" s="2" t="inlineStr">
        <is>
          <t>Tmin AGO</t>
        </is>
      </c>
      <c r="X1" s="2" t="inlineStr">
        <is>
          <t>Tmin SEP</t>
        </is>
      </c>
      <c r="Y1" s="2" t="inlineStr">
        <is>
          <t>Tmin OCT</t>
        </is>
      </c>
      <c r="Z1" s="2" t="inlineStr">
        <is>
          <t>Tmin NOV</t>
        </is>
      </c>
      <c r="AA1" s="2" t="inlineStr">
        <is>
          <t>Tmin DIC</t>
        </is>
      </c>
      <c r="AB1" s="2" t="inlineStr">
        <is>
          <t>Tmed ENE</t>
        </is>
      </c>
      <c r="AC1" s="2" t="inlineStr">
        <is>
          <t>Tmed FEB</t>
        </is>
      </c>
      <c r="AD1" s="2" t="inlineStr">
        <is>
          <t>Tmed MAR</t>
        </is>
      </c>
      <c r="AE1" s="2" t="inlineStr">
        <is>
          <t>Tmed ABR</t>
        </is>
      </c>
      <c r="AF1" s="2" t="inlineStr">
        <is>
          <t>Tmed MAY</t>
        </is>
      </c>
      <c r="AG1" s="2" t="inlineStr">
        <is>
          <t>Tmed JUN</t>
        </is>
      </c>
      <c r="AH1" s="2" t="inlineStr">
        <is>
          <t>Tmed JUL</t>
        </is>
      </c>
      <c r="AI1" s="2" t="inlineStr">
        <is>
          <t>Tmed AGO</t>
        </is>
      </c>
      <c r="AJ1" s="2" t="inlineStr">
        <is>
          <t>Tmed SEP</t>
        </is>
      </c>
      <c r="AK1" s="2" t="inlineStr">
        <is>
          <t>Tmed OCT</t>
        </is>
      </c>
      <c r="AL1" s="2" t="inlineStr">
        <is>
          <t>Tmed NOV</t>
        </is>
      </c>
      <c r="AM1" s="2" t="inlineStr">
        <is>
          <t>Tmed DIC</t>
        </is>
      </c>
    </row>
    <row r="2">
      <c r="A2" s="4" t="n">
        <v>26175040</v>
      </c>
      <c r="B2" s="4" t="inlineStr">
        <is>
          <t>Tunez Hda</t>
        </is>
      </c>
      <c r="C2" s="4" t="n">
        <v>530</v>
      </c>
      <c r="D2" s="4" t="n">
        <v>33.41578947368421</v>
      </c>
      <c r="E2" s="4" t="n">
        <v>34.05</v>
      </c>
      <c r="F2" s="4" t="n">
        <v>34.11666666666667</v>
      </c>
      <c r="G2" s="4" t="n">
        <v>32.79473684210527</v>
      </c>
      <c r="H2" s="4" t="n">
        <v>32.18500000000001</v>
      </c>
      <c r="I2" s="4" t="n">
        <v>32.50526315789475</v>
      </c>
      <c r="J2" s="4" t="n">
        <v>33.0578947368421</v>
      </c>
      <c r="K2" s="4" t="n">
        <v>33.46315789473684</v>
      </c>
      <c r="L2" s="4" t="n">
        <v>32.73684210526316</v>
      </c>
      <c r="M2" s="4" t="n">
        <v>31.99444444444445</v>
      </c>
      <c r="N2" s="4" t="n">
        <v>31.90000000000001</v>
      </c>
      <c r="O2" s="4" t="n">
        <v>32.3</v>
      </c>
      <c r="P2" s="4" t="n">
        <v>19.11428571428571</v>
      </c>
      <c r="Q2" s="4" t="n">
        <v>19.44285714285714</v>
      </c>
      <c r="R2" s="4" t="n">
        <v>19.75</v>
      </c>
      <c r="S2" s="4" t="n">
        <v>20.02272727272728</v>
      </c>
      <c r="T2" s="4" t="n">
        <v>19.94347826086957</v>
      </c>
      <c r="U2" s="4" t="n">
        <v>19.67391304347826</v>
      </c>
      <c r="V2" s="4" t="n">
        <v>19.20434782608695</v>
      </c>
      <c r="W2" s="4" t="n">
        <v>19.21739130434782</v>
      </c>
      <c r="X2" s="4" t="n">
        <v>19.30909090909091</v>
      </c>
      <c r="Y2" s="4" t="n">
        <v>19.38636363636364</v>
      </c>
      <c r="Z2" s="4" t="n">
        <v>19.64761904761905</v>
      </c>
      <c r="AA2" s="4" t="n">
        <v>19.4047619047619</v>
      </c>
      <c r="AB2" s="4" t="n">
        <v>26.14347826086957</v>
      </c>
      <c r="AC2" s="4" t="n">
        <v>26.9909090909091</v>
      </c>
      <c r="AD2" s="4" t="n">
        <v>27.01739130434783</v>
      </c>
      <c r="AE2" s="4" t="n">
        <v>26.35652173913044</v>
      </c>
      <c r="AF2" s="4" t="n">
        <v>25.85833333333333</v>
      </c>
      <c r="AG2" s="4" t="n">
        <v>25.83333333333333</v>
      </c>
      <c r="AH2" s="4" t="n">
        <v>25.90416666666667</v>
      </c>
      <c r="AI2" s="4" t="n">
        <v>26.12916666666666</v>
      </c>
      <c r="AJ2" s="4" t="n">
        <v>25.6625</v>
      </c>
      <c r="AK2" s="4" t="n">
        <v>25.24166666666667</v>
      </c>
      <c r="AL2" s="4" t="n">
        <v>25.35652173913043</v>
      </c>
      <c r="AM2" s="4" t="n">
        <v>25.4375</v>
      </c>
    </row>
    <row r="3">
      <c r="A3" s="4" t="n">
        <v>26225030</v>
      </c>
      <c r="B3" s="4" t="inlineStr">
        <is>
          <t>Cotove Hda</t>
        </is>
      </c>
      <c r="C3" s="4" t="n">
        <v>530</v>
      </c>
      <c r="D3" s="4" t="n">
        <v>35.48947368421052</v>
      </c>
      <c r="E3" s="4" t="n">
        <v>36.04444444444445</v>
      </c>
      <c r="F3" s="4" t="n">
        <v>35.58636363636362</v>
      </c>
      <c r="G3" s="4" t="n">
        <v>34.9095238095238</v>
      </c>
      <c r="H3" s="4" t="n">
        <v>33.93478260869565</v>
      </c>
      <c r="I3" s="4" t="n">
        <v>33.64</v>
      </c>
      <c r="J3" s="4" t="n">
        <v>34.21</v>
      </c>
      <c r="K3" s="4" t="n">
        <v>34.76111111111111</v>
      </c>
      <c r="L3" s="4" t="n">
        <v>34.08571428571428</v>
      </c>
      <c r="M3" s="4" t="n">
        <v>33.515</v>
      </c>
      <c r="N3" s="4" t="n">
        <v>33.35789473684211</v>
      </c>
      <c r="O3" s="4" t="n">
        <v>34.08636363636364</v>
      </c>
      <c r="P3" s="4" t="n">
        <v>20.13809523809525</v>
      </c>
      <c r="Q3" s="4" t="n">
        <v>20.73913043478261</v>
      </c>
      <c r="R3" s="4" t="n">
        <v>20.78461538461539</v>
      </c>
      <c r="S3" s="4" t="n">
        <v>20.96666666666667</v>
      </c>
      <c r="T3" s="4" t="n">
        <v>20.83333333333333</v>
      </c>
      <c r="U3" s="4" t="n">
        <v>20.60869565217391</v>
      </c>
      <c r="V3" s="4" t="n">
        <v>20.368</v>
      </c>
      <c r="W3" s="4" t="n">
        <v>20.34782608695652</v>
      </c>
      <c r="X3" s="4" t="n">
        <v>20.16153846153846</v>
      </c>
      <c r="Y3" s="4" t="n">
        <v>20.364</v>
      </c>
      <c r="Z3" s="4" t="n">
        <v>20.20384615384616</v>
      </c>
      <c r="AA3" s="4" t="n">
        <v>20.22307692307692</v>
      </c>
      <c r="AB3" s="4" t="n">
        <v>27.85217391304348</v>
      </c>
      <c r="AC3" s="4" t="n">
        <v>28.37272727272727</v>
      </c>
      <c r="AD3" s="4" t="n">
        <v>28.42307692307693</v>
      </c>
      <c r="AE3" s="4" t="n">
        <v>27.48799999999999</v>
      </c>
      <c r="AF3" s="4" t="n">
        <v>26.684</v>
      </c>
      <c r="AG3" s="4" t="n">
        <v>26.564</v>
      </c>
      <c r="AH3" s="4" t="n">
        <v>26.76086956521739</v>
      </c>
      <c r="AI3" s="4" t="n">
        <v>27.108</v>
      </c>
      <c r="AJ3" s="4" t="n">
        <v>26.40869565217391</v>
      </c>
      <c r="AK3" s="4" t="n">
        <v>25.96666666666667</v>
      </c>
      <c r="AL3" s="4" t="n">
        <v>26.30000000000001</v>
      </c>
      <c r="AM3" s="4" t="n">
        <v>26.77692307692308</v>
      </c>
    </row>
    <row r="4">
      <c r="A4" s="4" t="n">
        <v>26115040</v>
      </c>
      <c r="B4" s="4" t="inlineStr">
        <is>
          <t>Cent Admo La Union</t>
        </is>
      </c>
      <c r="C4" s="4" t="n">
        <v>920</v>
      </c>
      <c r="D4" s="4" t="n">
        <v>31.1</v>
      </c>
      <c r="E4" s="4" t="n">
        <v>31.55833333333333</v>
      </c>
      <c r="F4" s="4" t="n">
        <v>31.37916666666667</v>
      </c>
      <c r="G4" s="4" t="n">
        <v>30.42916666666666</v>
      </c>
      <c r="H4" s="4" t="n">
        <v>29.74583333333333</v>
      </c>
      <c r="I4" s="4" t="n">
        <v>30.16249999999999</v>
      </c>
      <c r="J4" s="4" t="n">
        <v>30.97083333333333</v>
      </c>
      <c r="K4" s="4" t="n">
        <v>31.76666666666668</v>
      </c>
      <c r="L4" s="4" t="n">
        <v>30.95833333333333</v>
      </c>
      <c r="M4" s="4" t="n">
        <v>29.98333333333333</v>
      </c>
      <c r="N4" s="4" t="n">
        <v>29.4375</v>
      </c>
      <c r="O4" s="4" t="n">
        <v>30.05416666666667</v>
      </c>
      <c r="P4" s="4" t="n">
        <v>18.57333333333333</v>
      </c>
      <c r="Q4" s="4" t="n">
        <v>18.75</v>
      </c>
      <c r="R4" s="4" t="n">
        <v>19.07999999999999</v>
      </c>
      <c r="S4" s="4" t="n">
        <v>19.33333333333334</v>
      </c>
      <c r="T4" s="4" t="n">
        <v>19.24666666666667</v>
      </c>
      <c r="U4" s="4" t="n">
        <v>18.76666666666667</v>
      </c>
      <c r="V4" s="4" t="n">
        <v>18.30666666666666</v>
      </c>
      <c r="W4" s="4" t="n">
        <v>18.32333333333333</v>
      </c>
      <c r="X4" s="4" t="n">
        <v>18.51666666666667</v>
      </c>
      <c r="Y4" s="4" t="n">
        <v>18.80333333333333</v>
      </c>
      <c r="Z4" s="4" t="n">
        <v>18.86333333333333</v>
      </c>
      <c r="AA4" s="4" t="n">
        <v>18.71333333333333</v>
      </c>
      <c r="AB4" s="4" t="n">
        <v>24.4</v>
      </c>
      <c r="AC4" s="4" t="n">
        <v>24.80333333333333</v>
      </c>
      <c r="AD4" s="4" t="n">
        <v>24.85000000000001</v>
      </c>
      <c r="AE4" s="4" t="n">
        <v>24.43333333333333</v>
      </c>
      <c r="AF4" s="4" t="n">
        <v>24.14333333333332</v>
      </c>
      <c r="AG4" s="4" t="n">
        <v>24.11666666666667</v>
      </c>
      <c r="AH4" s="4" t="n">
        <v>24.38333333333333</v>
      </c>
      <c r="AI4" s="4" t="n">
        <v>24.68333333333333</v>
      </c>
      <c r="AJ4" s="4" t="n">
        <v>24.30666666666666</v>
      </c>
      <c r="AK4" s="4" t="n">
        <v>23.8</v>
      </c>
      <c r="AL4" s="4" t="n">
        <v>23.73666666666666</v>
      </c>
      <c r="AM4" s="4" t="n">
        <v>23.99333333333334</v>
      </c>
    </row>
    <row r="5">
      <c r="A5" s="4" t="n">
        <v>26105110</v>
      </c>
      <c r="B5" s="4" t="inlineStr">
        <is>
          <t>Ing Riopaila</t>
        </is>
      </c>
      <c r="C5" s="4" t="n">
        <v>941</v>
      </c>
      <c r="D5" s="4" t="n">
        <v>31.41111111111111</v>
      </c>
      <c r="E5" s="4" t="n">
        <v>31.9</v>
      </c>
      <c r="F5" s="4" t="n">
        <v>31.25555555555555</v>
      </c>
      <c r="G5" s="4" t="n">
        <v>30.89375</v>
      </c>
      <c r="H5" s="4" t="n">
        <v>30.61666666666667</v>
      </c>
      <c r="I5" s="4" t="n">
        <v>30.68888888888889</v>
      </c>
      <c r="J5" s="4" t="n">
        <v>31.51875</v>
      </c>
      <c r="K5" s="4" t="n">
        <v>31.98235294117648</v>
      </c>
      <c r="L5" s="4" t="n">
        <v>31.4</v>
      </c>
      <c r="M5" s="4" t="n">
        <v>30.70588235294118</v>
      </c>
      <c r="N5" s="4" t="n">
        <v>30.31666666666667</v>
      </c>
      <c r="O5" s="4" t="n">
        <v>30.63333333333334</v>
      </c>
      <c r="P5" s="4" t="n">
        <v>18.03333333333333</v>
      </c>
      <c r="Q5" s="4" t="n">
        <v>18.15555555555556</v>
      </c>
      <c r="R5" s="4" t="n">
        <v>18.41666666666666</v>
      </c>
      <c r="S5" s="4" t="n">
        <v>18.75</v>
      </c>
      <c r="T5" s="4" t="n">
        <v>18.73888888888889</v>
      </c>
      <c r="U5" s="4" t="n">
        <v>18.31111111111111</v>
      </c>
      <c r="V5" s="4" t="n">
        <v>18.08823529411765</v>
      </c>
      <c r="W5" s="4" t="n">
        <v>18.0625</v>
      </c>
      <c r="X5" s="4" t="n">
        <v>18.12941176470588</v>
      </c>
      <c r="Y5" s="4" t="n">
        <v>18.29411764705882</v>
      </c>
      <c r="Z5" s="4" t="n">
        <v>18.48888888888889</v>
      </c>
      <c r="AA5" s="4" t="n">
        <v>18.32777777777778</v>
      </c>
      <c r="AB5" s="4" t="n">
        <v>24.5</v>
      </c>
      <c r="AC5" s="4" t="n">
        <v>24.94666666666667</v>
      </c>
      <c r="AD5" s="4" t="n">
        <v>24.6625</v>
      </c>
      <c r="AE5" s="4" t="n">
        <v>24.22499999999999</v>
      </c>
      <c r="AF5" s="4" t="n">
        <v>24.10666666666667</v>
      </c>
      <c r="AG5" s="4" t="n">
        <v>24.12666666666667</v>
      </c>
      <c r="AH5" s="4" t="n">
        <v>24.31333333333333</v>
      </c>
      <c r="AI5" s="4" t="n">
        <v>24.52857142857143</v>
      </c>
      <c r="AJ5" s="4" t="n">
        <v>24.39375</v>
      </c>
      <c r="AK5" s="4" t="n">
        <v>24.1</v>
      </c>
      <c r="AL5" s="4" t="n">
        <v>23.975</v>
      </c>
      <c r="AM5" s="4" t="n">
        <v>24.025</v>
      </c>
    </row>
    <row r="6">
      <c r="A6" s="4" t="n">
        <v>26085120</v>
      </c>
      <c r="B6" s="4" t="inlineStr">
        <is>
          <t>Base Aerea MFS</t>
        </is>
      </c>
      <c r="C6" s="4" t="n">
        <v>954</v>
      </c>
      <c r="D6" s="4" t="n">
        <v>30.23333333333333</v>
      </c>
      <c r="E6" s="4" t="n">
        <v>30.35</v>
      </c>
      <c r="F6" s="4" t="n">
        <v>30.3</v>
      </c>
      <c r="G6" s="4" t="n">
        <v>29.77692307692308</v>
      </c>
      <c r="H6" s="4" t="n">
        <v>29.50833333333333</v>
      </c>
      <c r="I6" s="4" t="n">
        <v>29.4</v>
      </c>
      <c r="J6" s="4" t="n">
        <v>30.22307692307692</v>
      </c>
      <c r="K6" s="4" t="n">
        <v>30.99230769230769</v>
      </c>
      <c r="L6" s="4" t="n">
        <v>30.4</v>
      </c>
      <c r="M6" s="4" t="n">
        <v>29.76153846153846</v>
      </c>
      <c r="N6" s="4" t="n">
        <v>28.96923076923077</v>
      </c>
      <c r="O6" s="4" t="n">
        <v>29.11818181818182</v>
      </c>
      <c r="P6" s="4" t="n">
        <v>19.69230769230769</v>
      </c>
      <c r="Q6" s="4" t="n">
        <v>19.73846153846154</v>
      </c>
      <c r="R6" s="4" t="n">
        <v>19.80769230769231</v>
      </c>
      <c r="S6" s="4" t="n">
        <v>19.88461538461538</v>
      </c>
      <c r="T6" s="4" t="n">
        <v>19.9</v>
      </c>
      <c r="U6" s="4" t="n">
        <v>19.64285714285714</v>
      </c>
      <c r="V6" s="4" t="n">
        <v>19.41428571428571</v>
      </c>
      <c r="W6" s="4" t="n">
        <v>19.48571428571429</v>
      </c>
      <c r="X6" s="4" t="n">
        <v>19.52142857142858</v>
      </c>
      <c r="Y6" s="4" t="n">
        <v>19.53571428571428</v>
      </c>
      <c r="Z6" s="4" t="n">
        <v>19.55714285714286</v>
      </c>
      <c r="AA6" s="4" t="n">
        <v>19.70909090909091</v>
      </c>
      <c r="AB6" s="4" t="n">
        <v>25.284</v>
      </c>
      <c r="AC6" s="4" t="n">
        <v>25.412</v>
      </c>
      <c r="AD6" s="4" t="n">
        <v>25.408</v>
      </c>
      <c r="AE6" s="4" t="n">
        <v>25.036</v>
      </c>
      <c r="AF6" s="4" t="n">
        <v>25.18</v>
      </c>
      <c r="AG6" s="4" t="n">
        <v>25.10833333333333</v>
      </c>
      <c r="AH6" s="4" t="n">
        <v>25.42173913043478</v>
      </c>
      <c r="AI6" s="4" t="n">
        <v>25.80384615384616</v>
      </c>
      <c r="AJ6" s="4" t="n">
        <v>25.49230769230769</v>
      </c>
      <c r="AK6" s="4" t="n">
        <v>24.80869565217391</v>
      </c>
      <c r="AL6" s="4" t="n">
        <v>24.59565217391305</v>
      </c>
      <c r="AM6" s="4" t="n">
        <v>24.61739130434783</v>
      </c>
    </row>
    <row r="7">
      <c r="A7" s="4" t="n">
        <v>26105160</v>
      </c>
      <c r="B7" s="4" t="inlineStr">
        <is>
          <t>Apto Farfan</t>
        </is>
      </c>
      <c r="C7" s="4" t="n">
        <v>955</v>
      </c>
      <c r="D7" s="4" t="n">
        <v>30.2</v>
      </c>
      <c r="E7" s="4" t="n">
        <v>30.57</v>
      </c>
      <c r="F7" s="4" t="n">
        <v>30.46666666666666</v>
      </c>
      <c r="G7" s="4" t="n">
        <v>29.70000000000001</v>
      </c>
      <c r="H7" s="4" t="n">
        <v>29.37</v>
      </c>
      <c r="I7" s="4" t="n">
        <v>29.63333333333333</v>
      </c>
      <c r="J7" s="4" t="n">
        <v>30.32</v>
      </c>
      <c r="K7" s="4" t="n">
        <v>30.76333333333334</v>
      </c>
      <c r="L7" s="4" t="n">
        <v>30.24</v>
      </c>
      <c r="M7" s="4" t="n">
        <v>29.29310344827586</v>
      </c>
      <c r="N7" s="4" t="n">
        <v>28.98620689655171</v>
      </c>
      <c r="O7" s="4" t="n">
        <v>29.38275862068966</v>
      </c>
      <c r="P7" s="4" t="n">
        <v>18.44074074074074</v>
      </c>
      <c r="Q7" s="4" t="n">
        <v>18.58214285714286</v>
      </c>
      <c r="R7" s="4" t="n">
        <v>18.75555555555555</v>
      </c>
      <c r="S7" s="4" t="n">
        <v>18.89259259259259</v>
      </c>
      <c r="T7" s="4" t="n">
        <v>18.81428571428571</v>
      </c>
      <c r="U7" s="4" t="n">
        <v>18.45357142857143</v>
      </c>
      <c r="V7" s="4" t="n">
        <v>17.91111111111111</v>
      </c>
      <c r="W7" s="4" t="n">
        <v>18.14642857142858</v>
      </c>
      <c r="X7" s="4" t="n">
        <v>18.32307692307692</v>
      </c>
      <c r="Y7" s="4" t="n">
        <v>18.38148148148148</v>
      </c>
      <c r="Z7" s="4" t="n">
        <v>18.37777777777778</v>
      </c>
      <c r="AA7" s="4" t="n">
        <v>18.38076923076923</v>
      </c>
      <c r="AB7" s="4" t="n">
        <v>24.06</v>
      </c>
      <c r="AC7" s="4" t="n">
        <v>24.34</v>
      </c>
      <c r="AD7" s="4" t="n">
        <v>24.29333333333333</v>
      </c>
      <c r="AE7" s="4" t="n">
        <v>23.94666666666666</v>
      </c>
      <c r="AF7" s="4" t="n">
        <v>23.78965517241379</v>
      </c>
      <c r="AG7" s="4" t="n">
        <v>23.70344827586207</v>
      </c>
      <c r="AH7" s="4" t="n">
        <v>24.09655172413792</v>
      </c>
      <c r="AI7" s="4" t="n">
        <v>24.23333333333333</v>
      </c>
      <c r="AJ7" s="4" t="n">
        <v>23.99333333333334</v>
      </c>
      <c r="AK7" s="4" t="n">
        <v>23.36896551724138</v>
      </c>
      <c r="AL7" s="4" t="n">
        <v>23.13793103448276</v>
      </c>
      <c r="AM7" s="4" t="n">
        <v>23.52068965517241</v>
      </c>
    </row>
    <row r="8">
      <c r="A8" s="4" t="n">
        <v>26075040</v>
      </c>
      <c r="B8" s="4" t="inlineStr">
        <is>
          <t>Apto A Bonilla</t>
        </is>
      </c>
      <c r="C8" s="4" t="n">
        <v>961</v>
      </c>
      <c r="D8" s="4" t="n">
        <v>29.94333333333333</v>
      </c>
      <c r="E8" s="4" t="n">
        <v>30.2</v>
      </c>
      <c r="F8" s="4" t="n">
        <v>30.08666666666667</v>
      </c>
      <c r="G8" s="4" t="n">
        <v>29.48</v>
      </c>
      <c r="H8" s="4" t="n">
        <v>29.29</v>
      </c>
      <c r="I8" s="4" t="n">
        <v>29.45333333333333</v>
      </c>
      <c r="J8" s="4" t="n">
        <v>30.14333333333333</v>
      </c>
      <c r="K8" s="4" t="n">
        <v>30.70333333333334</v>
      </c>
      <c r="L8" s="4" t="n">
        <v>30.18333333333334</v>
      </c>
      <c r="M8" s="4" t="n">
        <v>29.23</v>
      </c>
      <c r="N8" s="4" t="n">
        <v>28.93666666666666</v>
      </c>
      <c r="O8" s="4" t="n">
        <v>29.22333333333333</v>
      </c>
      <c r="P8" s="4" t="n">
        <v>18.85333333333334</v>
      </c>
      <c r="Q8" s="4" t="n">
        <v>19.02333333333333</v>
      </c>
      <c r="R8" s="4" t="n">
        <v>19.21</v>
      </c>
      <c r="S8" s="4" t="n">
        <v>19.23333333333333</v>
      </c>
      <c r="T8" s="4" t="n">
        <v>19.24666666666667</v>
      </c>
      <c r="U8" s="4" t="n">
        <v>18.88666666666667</v>
      </c>
      <c r="V8" s="4" t="n">
        <v>18.43666666666667</v>
      </c>
      <c r="W8" s="4" t="n">
        <v>18.54666666666667</v>
      </c>
      <c r="X8" s="4" t="n">
        <v>18.67333333333334</v>
      </c>
      <c r="Y8" s="4" t="n">
        <v>18.78333333333334</v>
      </c>
      <c r="Z8" s="4" t="n">
        <v>18.81</v>
      </c>
      <c r="AA8" s="4" t="n">
        <v>18.9</v>
      </c>
      <c r="AB8" s="4" t="n">
        <v>23.95333333333333</v>
      </c>
      <c r="AC8" s="4" t="n">
        <v>24.23</v>
      </c>
      <c r="AD8" s="4" t="n">
        <v>24.20666666666667</v>
      </c>
      <c r="AE8" s="4" t="n">
        <v>23.91666666666666</v>
      </c>
      <c r="AF8" s="4" t="n">
        <v>23.91333333333334</v>
      </c>
      <c r="AG8" s="4" t="n">
        <v>23.91</v>
      </c>
      <c r="AH8" s="4" t="n">
        <v>24.10333333333334</v>
      </c>
      <c r="AI8" s="4" t="n">
        <v>24.32333333333333</v>
      </c>
      <c r="AJ8" s="4" t="n">
        <v>24.05333333333333</v>
      </c>
      <c r="AK8" s="4" t="n">
        <v>23.52333333333333</v>
      </c>
      <c r="AL8" s="4" t="n">
        <v>23.39333333333333</v>
      </c>
      <c r="AM8" s="4" t="n">
        <v>23.56999999999999</v>
      </c>
    </row>
    <row r="9">
      <c r="A9" s="4" t="n">
        <v>26135100</v>
      </c>
      <c r="B9" s="4" t="inlineStr">
        <is>
          <t>Bohemia La</t>
        </is>
      </c>
      <c r="C9" s="4" t="n">
        <v>970</v>
      </c>
      <c r="D9" s="4" t="n">
        <v>30.584</v>
      </c>
      <c r="E9" s="4" t="n">
        <v>30.95</v>
      </c>
      <c r="F9" s="4" t="n">
        <v>30.648</v>
      </c>
      <c r="G9" s="4" t="n">
        <v>29.872</v>
      </c>
      <c r="H9" s="4" t="n">
        <v>29.56000000000001</v>
      </c>
      <c r="I9" s="4" t="n">
        <v>29.65600000000001</v>
      </c>
      <c r="J9" s="4" t="n">
        <v>30.33199999999999</v>
      </c>
      <c r="K9" s="4" t="n">
        <v>30.72</v>
      </c>
      <c r="L9" s="4" t="n">
        <v>30.464</v>
      </c>
      <c r="M9" s="4" t="n">
        <v>29.48399999999999</v>
      </c>
      <c r="N9" s="4" t="n">
        <v>29.208</v>
      </c>
      <c r="O9" s="4" t="n">
        <v>29.55833333333333</v>
      </c>
      <c r="P9" s="4" t="n">
        <v>19.06333333333333</v>
      </c>
      <c r="Q9" s="4" t="n">
        <v>19.30333333333334</v>
      </c>
      <c r="R9" s="4" t="n">
        <v>19.34666666666667</v>
      </c>
      <c r="S9" s="4" t="n">
        <v>19.50666666666667</v>
      </c>
      <c r="T9" s="4" t="n">
        <v>19.45</v>
      </c>
      <c r="U9" s="4" t="n">
        <v>19.13</v>
      </c>
      <c r="V9" s="4" t="n">
        <v>18.75</v>
      </c>
      <c r="W9" s="4" t="n">
        <v>18.72333333333334</v>
      </c>
      <c r="X9" s="4" t="n">
        <v>18.81</v>
      </c>
      <c r="Y9" s="4" t="n">
        <v>18.88666666666667</v>
      </c>
      <c r="Z9" s="4" t="n">
        <v>19.06</v>
      </c>
      <c r="AA9" s="4" t="n">
        <v>19.1</v>
      </c>
      <c r="AB9" s="4" t="n">
        <v>24.08999999999999</v>
      </c>
      <c r="AC9" s="4" t="n">
        <v>24.26333333333334</v>
      </c>
      <c r="AD9" s="4" t="n">
        <v>24.24</v>
      </c>
      <c r="AE9" s="4" t="n">
        <v>23.91666666666667</v>
      </c>
      <c r="AF9" s="4" t="n">
        <v>23.77333333333333</v>
      </c>
      <c r="AG9" s="4" t="n">
        <v>23.88</v>
      </c>
      <c r="AH9" s="4" t="n">
        <v>24.13666666666666</v>
      </c>
      <c r="AI9" s="4" t="n">
        <v>24.36</v>
      </c>
      <c r="AJ9" s="4" t="n">
        <v>23.93333333333333</v>
      </c>
      <c r="AK9" s="4" t="n">
        <v>23.43333333333333</v>
      </c>
      <c r="AL9" s="4" t="n">
        <v>23.35333333333334</v>
      </c>
      <c r="AM9" s="4" t="n">
        <v>23.66896551724138</v>
      </c>
    </row>
    <row r="10">
      <c r="A10" s="4" t="n">
        <v>26095230</v>
      </c>
      <c r="B10" s="4" t="inlineStr">
        <is>
          <t>Vinculo El</t>
        </is>
      </c>
      <c r="C10" s="4" t="n">
        <v>979</v>
      </c>
      <c r="D10" s="4" t="n">
        <v>30.16190476190475</v>
      </c>
      <c r="E10" s="4" t="n">
        <v>30.27619047619048</v>
      </c>
      <c r="F10" s="4" t="n">
        <v>30.43809523809524</v>
      </c>
      <c r="G10" s="4" t="n">
        <v>29.5</v>
      </c>
      <c r="H10" s="4" t="n">
        <v>29.4095238095238</v>
      </c>
      <c r="I10" s="4" t="n">
        <v>29.37619047619048</v>
      </c>
      <c r="J10" s="4" t="n">
        <v>29.92000000000001</v>
      </c>
      <c r="K10" s="4" t="n">
        <v>30.48</v>
      </c>
      <c r="L10" s="4" t="n">
        <v>30.235</v>
      </c>
      <c r="M10" s="4" t="n">
        <v>29.63333333333333</v>
      </c>
      <c r="N10" s="4" t="n">
        <v>29.3</v>
      </c>
      <c r="O10" s="4" t="n">
        <v>29.63157894736841</v>
      </c>
      <c r="P10" s="4" t="n">
        <v>18.57083333333333</v>
      </c>
      <c r="Q10" s="4" t="n">
        <v>18.73333333333333</v>
      </c>
      <c r="R10" s="4" t="n">
        <v>19.0625</v>
      </c>
      <c r="S10" s="4" t="n">
        <v>19.11666666666667</v>
      </c>
      <c r="T10" s="4" t="n">
        <v>19.19583333333333</v>
      </c>
      <c r="U10" s="4" t="n">
        <v>18.85416666666666</v>
      </c>
      <c r="V10" s="4" t="n">
        <v>18.68333333333333</v>
      </c>
      <c r="W10" s="4" t="n">
        <v>18.6875</v>
      </c>
      <c r="X10" s="4" t="n">
        <v>18.7125</v>
      </c>
      <c r="Y10" s="4" t="n">
        <v>18.6625</v>
      </c>
      <c r="Z10" s="4" t="n">
        <v>18.69166666666667</v>
      </c>
      <c r="AA10" s="4" t="n">
        <v>18.675</v>
      </c>
      <c r="AB10" s="4" t="n">
        <v>23.68461538461538</v>
      </c>
      <c r="AC10" s="4" t="n">
        <v>23.98148148148148</v>
      </c>
      <c r="AD10" s="4" t="n">
        <v>23.97407407407407</v>
      </c>
      <c r="AE10" s="4" t="n">
        <v>23.57037037037037</v>
      </c>
      <c r="AF10" s="4" t="n">
        <v>23.50740740740741</v>
      </c>
      <c r="AG10" s="4" t="n">
        <v>23.35925925925926</v>
      </c>
      <c r="AH10" s="4" t="n">
        <v>23.68148148148148</v>
      </c>
      <c r="AI10" s="4" t="n">
        <v>23.97777777777778</v>
      </c>
      <c r="AJ10" s="4" t="n">
        <v>23.8037037037037</v>
      </c>
      <c r="AK10" s="4" t="n">
        <v>23.24074074074073</v>
      </c>
      <c r="AL10" s="4" t="n">
        <v>23.07777777777778</v>
      </c>
      <c r="AM10" s="4" t="n">
        <v>23.25555555555556</v>
      </c>
    </row>
    <row r="11">
      <c r="A11" s="4" t="n">
        <v>26055070</v>
      </c>
      <c r="B11" s="4" t="inlineStr">
        <is>
          <t>Univ del Valle</t>
        </is>
      </c>
      <c r="C11" s="4" t="n">
        <v>985</v>
      </c>
      <c r="D11" s="4" t="n">
        <v>29.97000000000001</v>
      </c>
      <c r="E11" s="4" t="n">
        <v>30.25666666666666</v>
      </c>
      <c r="F11" s="4" t="n">
        <v>30.16666666666666</v>
      </c>
      <c r="G11" s="4" t="n">
        <v>29.59333333333333</v>
      </c>
      <c r="H11" s="4" t="n">
        <v>29.39333333333333</v>
      </c>
      <c r="I11" s="4" t="n">
        <v>29.56666666666667</v>
      </c>
      <c r="J11" s="4" t="n">
        <v>30.25000000000001</v>
      </c>
      <c r="K11" s="4" t="n">
        <v>31.08999999999999</v>
      </c>
      <c r="L11" s="4" t="n">
        <v>30.68666666666666</v>
      </c>
      <c r="M11" s="4" t="n">
        <v>29.53</v>
      </c>
      <c r="N11" s="4" t="n">
        <v>28.96333333333333</v>
      </c>
      <c r="O11" s="4" t="n">
        <v>29.16</v>
      </c>
      <c r="P11" s="4" t="n">
        <v>19.38</v>
      </c>
      <c r="Q11" s="4" t="n">
        <v>19.46</v>
      </c>
      <c r="R11" s="4" t="n">
        <v>19.57666666666667</v>
      </c>
      <c r="S11" s="4" t="n">
        <v>19.58666666666667</v>
      </c>
      <c r="T11" s="4" t="n">
        <v>19.61666666666667</v>
      </c>
      <c r="U11" s="4" t="n">
        <v>19.16</v>
      </c>
      <c r="V11" s="4" t="n">
        <v>18.65333333333333</v>
      </c>
      <c r="W11" s="4" t="n">
        <v>18.72666666666667</v>
      </c>
      <c r="X11" s="4" t="n">
        <v>18.97</v>
      </c>
      <c r="Y11" s="4" t="n">
        <v>19.05666666666667</v>
      </c>
      <c r="Z11" s="4" t="n">
        <v>19.21</v>
      </c>
      <c r="AA11" s="4" t="n">
        <v>19.43666666666667</v>
      </c>
      <c r="AB11" s="4" t="n">
        <v>24.52758620689655</v>
      </c>
      <c r="AC11" s="4" t="n">
        <v>24.71724137931034</v>
      </c>
      <c r="AD11" s="4" t="n">
        <v>24.66</v>
      </c>
      <c r="AE11" s="4" t="n">
        <v>24.36333333333334</v>
      </c>
      <c r="AF11" s="4" t="n">
        <v>24.35666666666667</v>
      </c>
      <c r="AG11" s="4" t="n">
        <v>24.39</v>
      </c>
      <c r="AH11" s="4" t="n">
        <v>24.68333333333333</v>
      </c>
      <c r="AI11" s="4" t="n">
        <v>25.12</v>
      </c>
      <c r="AJ11" s="4" t="n">
        <v>24.82</v>
      </c>
      <c r="AK11" s="4" t="n">
        <v>24.14333333333333</v>
      </c>
      <c r="AL11" s="4" t="n">
        <v>23.84333333333333</v>
      </c>
      <c r="AM11" s="4" t="n">
        <v>24.11666666666667</v>
      </c>
    </row>
    <row r="12">
      <c r="A12" s="4" t="n">
        <v>26065010</v>
      </c>
      <c r="B12" s="4" t="inlineStr">
        <is>
          <t>Ing Cauca</t>
        </is>
      </c>
      <c r="C12" s="4" t="n">
        <v>1000</v>
      </c>
      <c r="D12" s="4" t="n">
        <v>29.99130434782609</v>
      </c>
      <c r="E12" s="4" t="n">
        <v>30.27391304347826</v>
      </c>
      <c r="F12" s="4" t="n">
        <v>30.26956521739131</v>
      </c>
      <c r="G12" s="4" t="n">
        <v>29.58260869565218</v>
      </c>
      <c r="H12" s="4" t="n">
        <v>29.3913043478261</v>
      </c>
      <c r="I12" s="4" t="n">
        <v>29.55833333333334</v>
      </c>
      <c r="J12" s="4" t="n">
        <v>29.9125</v>
      </c>
      <c r="K12" s="4" t="n">
        <v>30.34583333333333</v>
      </c>
      <c r="L12" s="4" t="n">
        <v>30.10416666666667</v>
      </c>
      <c r="M12" s="4" t="n">
        <v>29.4375</v>
      </c>
      <c r="N12" s="4" t="n">
        <v>29.03478260869565</v>
      </c>
      <c r="O12" s="4" t="n">
        <v>29.42173913043478</v>
      </c>
      <c r="P12" s="4" t="n">
        <v>18.564</v>
      </c>
      <c r="Q12" s="4" t="n">
        <v>18.77083333333333</v>
      </c>
      <c r="R12" s="4" t="n">
        <v>18.72083333333333</v>
      </c>
      <c r="S12" s="4" t="n">
        <v>19.05652173913043</v>
      </c>
      <c r="T12" s="4" t="n">
        <v>19.08333333333333</v>
      </c>
      <c r="U12" s="4" t="n">
        <v>18.816</v>
      </c>
      <c r="V12" s="4" t="n">
        <v>18.216</v>
      </c>
      <c r="W12" s="4" t="n">
        <v>17.99230769230769</v>
      </c>
      <c r="X12" s="4" t="n">
        <v>18.21666666666667</v>
      </c>
      <c r="Y12" s="4" t="n">
        <v>18.48695652173913</v>
      </c>
      <c r="Z12" s="4" t="n">
        <v>18.77391304347826</v>
      </c>
      <c r="AA12" s="4" t="n">
        <v>18.74782608695652</v>
      </c>
      <c r="AB12" s="4" t="n">
        <v>23.55517241379311</v>
      </c>
      <c r="AC12" s="4" t="n">
        <v>23.73571428571429</v>
      </c>
      <c r="AD12" s="4" t="n">
        <v>23.64827586206896</v>
      </c>
      <c r="AE12" s="4" t="n">
        <v>23.3896551724138</v>
      </c>
      <c r="AF12" s="4" t="n">
        <v>23.41724137931035</v>
      </c>
      <c r="AG12" s="4" t="n">
        <v>23.47666666666667</v>
      </c>
      <c r="AH12" s="4" t="n">
        <v>23.57586206896551</v>
      </c>
      <c r="AI12" s="4" t="n">
        <v>23.83666666666666</v>
      </c>
      <c r="AJ12" s="4" t="n">
        <v>23.53666666666666</v>
      </c>
      <c r="AK12" s="4" t="n">
        <v>23.17666666666667</v>
      </c>
      <c r="AL12" s="4" t="n">
        <v>22.93666666666667</v>
      </c>
      <c r="AM12" s="4" t="n">
        <v>23.27241379310345</v>
      </c>
    </row>
    <row r="13">
      <c r="A13" s="4" t="n">
        <v>26045010</v>
      </c>
      <c r="B13" s="4" t="inlineStr">
        <is>
          <t>Ing Bengala</t>
        </is>
      </c>
      <c r="C13" s="4" t="n">
        <v>1000</v>
      </c>
      <c r="D13" s="4" t="n">
        <v>29.97272727272727</v>
      </c>
      <c r="E13" s="4" t="n">
        <v>30.2909090909091</v>
      </c>
      <c r="F13" s="4" t="n">
        <v>30.18181818181819</v>
      </c>
      <c r="G13" s="4" t="n">
        <v>29.58095238095238</v>
      </c>
      <c r="H13" s="4" t="n">
        <v>29.63478260869565</v>
      </c>
      <c r="I13" s="4" t="n">
        <v>29.69565217391304</v>
      </c>
      <c r="J13" s="4" t="n">
        <v>30.24347826086956</v>
      </c>
      <c r="K13" s="4" t="n">
        <v>30.61304347826087</v>
      </c>
      <c r="L13" s="4" t="n">
        <v>30.28695652173912</v>
      </c>
      <c r="M13" s="4" t="n">
        <v>29.53913043478262</v>
      </c>
      <c r="N13" s="4" t="n">
        <v>29.17391304347827</v>
      </c>
      <c r="O13" s="4" t="n">
        <v>29.48260869565218</v>
      </c>
      <c r="P13" s="4" t="n">
        <v>18.04230769230769</v>
      </c>
      <c r="Q13" s="4" t="n">
        <v>17.96538461538461</v>
      </c>
      <c r="R13" s="4" t="n">
        <v>18.10384615384616</v>
      </c>
      <c r="S13" s="4" t="n">
        <v>18.108</v>
      </c>
      <c r="T13" s="4" t="n">
        <v>18.26538461538462</v>
      </c>
      <c r="U13" s="4" t="n">
        <v>17.94615384615385</v>
      </c>
      <c r="V13" s="4" t="n">
        <v>17.45384615384615</v>
      </c>
      <c r="W13" s="4" t="n">
        <v>17.52692307692308</v>
      </c>
      <c r="X13" s="4" t="n">
        <v>17.72692307692308</v>
      </c>
      <c r="Y13" s="4" t="n">
        <v>17.91153846153846</v>
      </c>
      <c r="Z13" s="4" t="n">
        <v>17.98076923076923</v>
      </c>
      <c r="AA13" s="4" t="n">
        <v>18.05384615384615</v>
      </c>
      <c r="AB13" s="4" t="n">
        <v>24.13928571428571</v>
      </c>
      <c r="AC13" s="4" t="n">
        <v>24.20357142857143</v>
      </c>
      <c r="AD13" s="4" t="n">
        <v>24.08214285714286</v>
      </c>
      <c r="AE13" s="4" t="n">
        <v>23.86071428571429</v>
      </c>
      <c r="AF13" s="4" t="n">
        <v>23.96785714285715</v>
      </c>
      <c r="AG13" s="4" t="n">
        <v>23.99642857142857</v>
      </c>
      <c r="AH13" s="4" t="n">
        <v>24.17142857142857</v>
      </c>
      <c r="AI13" s="4" t="n">
        <v>24.3</v>
      </c>
      <c r="AJ13" s="4" t="n">
        <v>24.13928571428571</v>
      </c>
      <c r="AK13" s="4" t="n">
        <v>23.86071428571428</v>
      </c>
      <c r="AL13" s="4" t="n">
        <v>23.79285714285714</v>
      </c>
      <c r="AM13" s="4" t="n">
        <v>23.89642857142857</v>
      </c>
    </row>
    <row r="14">
      <c r="A14" s="4" t="n">
        <v>26105150</v>
      </c>
      <c r="B14" s="4" t="inlineStr">
        <is>
          <t>San Marcos</t>
        </is>
      </c>
      <c r="C14" s="4" t="n">
        <v>1002</v>
      </c>
      <c r="D14" s="4" t="n">
        <v>29.43999999999999</v>
      </c>
      <c r="E14" s="4" t="n">
        <v>29.7</v>
      </c>
      <c r="F14" s="4" t="n">
        <v>29.66153846153846</v>
      </c>
      <c r="G14" s="4" t="n">
        <v>29.11538461538462</v>
      </c>
      <c r="H14" s="4" t="n">
        <v>28.98461538461539</v>
      </c>
      <c r="I14" s="4" t="n">
        <v>29.12307692307692</v>
      </c>
      <c r="J14" s="4" t="n">
        <v>29.76538461538462</v>
      </c>
      <c r="K14" s="4" t="n">
        <v>30.38846153846153</v>
      </c>
      <c r="L14" s="4" t="n">
        <v>29.97307692307692</v>
      </c>
      <c r="M14" s="4" t="n">
        <v>29.01600000000001</v>
      </c>
      <c r="N14" s="4" t="n">
        <v>28.44615384615385</v>
      </c>
      <c r="O14" s="4" t="n">
        <v>28.836</v>
      </c>
      <c r="P14" s="4" t="n">
        <v>17.22666666666667</v>
      </c>
      <c r="Q14" s="4" t="n">
        <v>17.35</v>
      </c>
      <c r="R14" s="4" t="n">
        <v>17.81333333333333</v>
      </c>
      <c r="S14" s="4" t="n">
        <v>18.13666666666667</v>
      </c>
      <c r="T14" s="4" t="n">
        <v>18.14</v>
      </c>
      <c r="U14" s="4" t="n">
        <v>17.64666666666666</v>
      </c>
      <c r="V14" s="4" t="n">
        <v>16.95</v>
      </c>
      <c r="W14" s="4" t="n">
        <v>16.72333333333333</v>
      </c>
      <c r="X14" s="4" t="n">
        <v>17.18666666666667</v>
      </c>
      <c r="Y14" s="4" t="n">
        <v>17.48</v>
      </c>
      <c r="Z14" s="4" t="n">
        <v>17.81</v>
      </c>
      <c r="AA14" s="4" t="n">
        <v>17.58666666666667</v>
      </c>
      <c r="AB14" s="4" t="n">
        <v>23.28333333333333</v>
      </c>
      <c r="AC14" s="4" t="n">
        <v>23.40666666666667</v>
      </c>
      <c r="AD14" s="4" t="n">
        <v>23.40666666666667</v>
      </c>
      <c r="AE14" s="4" t="n">
        <v>23.32758620689655</v>
      </c>
      <c r="AF14" s="4" t="n">
        <v>23.24827586206896</v>
      </c>
      <c r="AG14" s="4" t="n">
        <v>23.28333333333332</v>
      </c>
      <c r="AH14" s="4" t="n">
        <v>23.32</v>
      </c>
      <c r="AI14" s="4" t="n">
        <v>23.58666666666666</v>
      </c>
      <c r="AJ14" s="4" t="n">
        <v>23.48</v>
      </c>
      <c r="AK14" s="4" t="n">
        <v>23.04666666666667</v>
      </c>
      <c r="AL14" s="4" t="n">
        <v>22.92333333333334</v>
      </c>
      <c r="AM14" s="4" t="n">
        <v>23.11724137931035</v>
      </c>
    </row>
    <row r="15">
      <c r="A15" s="4" t="n">
        <v>26075080</v>
      </c>
      <c r="B15" s="4" t="inlineStr">
        <is>
          <t>Cenicana</t>
        </is>
      </c>
      <c r="C15" s="4" t="n">
        <v>1013</v>
      </c>
      <c r="D15" s="4" t="n">
        <v>29.575</v>
      </c>
      <c r="E15" s="4" t="n">
        <v>29.85000000000001</v>
      </c>
      <c r="F15" s="4" t="n">
        <v>29.78125</v>
      </c>
      <c r="G15" s="4" t="n">
        <v>29.3375</v>
      </c>
      <c r="H15" s="4" t="n">
        <v>29.05625</v>
      </c>
      <c r="I15" s="4" t="n">
        <v>29.4</v>
      </c>
      <c r="J15" s="4" t="n">
        <v>29.875</v>
      </c>
      <c r="K15" s="4" t="n">
        <v>30.31249999999999</v>
      </c>
      <c r="L15" s="4" t="n">
        <v>29.72666666666667</v>
      </c>
      <c r="M15" s="4" t="n">
        <v>29.09375</v>
      </c>
      <c r="N15" s="4" t="n">
        <v>28.60666666666667</v>
      </c>
      <c r="O15" s="4" t="n">
        <v>29.17333333333333</v>
      </c>
      <c r="P15" s="4" t="n">
        <v>18.70666666666666</v>
      </c>
      <c r="Q15" s="4" t="n">
        <v>18.82</v>
      </c>
      <c r="R15" s="4" t="n">
        <v>19.01333333333333</v>
      </c>
      <c r="S15" s="4" t="n">
        <v>19.09333333333333</v>
      </c>
      <c r="T15" s="4" t="n">
        <v>19.08</v>
      </c>
      <c r="U15" s="4" t="n">
        <v>18.74666666666667</v>
      </c>
      <c r="V15" s="4" t="n">
        <v>18.26666666666667</v>
      </c>
      <c r="W15" s="4" t="n">
        <v>18.21333333333333</v>
      </c>
      <c r="X15" s="4" t="n">
        <v>18.46428571428572</v>
      </c>
      <c r="Y15" s="4" t="n">
        <v>18.55333333333333</v>
      </c>
      <c r="Z15" s="4" t="n">
        <v>18.57142857142857</v>
      </c>
      <c r="AA15" s="4" t="n">
        <v>18.75</v>
      </c>
      <c r="AB15" s="4" t="n">
        <v>23.52857142857143</v>
      </c>
      <c r="AC15" s="4" t="n">
        <v>23.68571428571428</v>
      </c>
      <c r="AD15" s="4" t="n">
        <v>23.75333333333333</v>
      </c>
      <c r="AE15" s="4" t="n">
        <v>23.52666666666666</v>
      </c>
      <c r="AF15" s="4" t="n">
        <v>23.52</v>
      </c>
      <c r="AG15" s="4" t="n">
        <v>23.75714285714286</v>
      </c>
      <c r="AH15" s="4" t="n">
        <v>23.82666666666666</v>
      </c>
      <c r="AI15" s="4" t="n">
        <v>24.04000000000001</v>
      </c>
      <c r="AJ15" s="4" t="n">
        <v>23.64666666666667</v>
      </c>
      <c r="AK15" s="4" t="n">
        <v>23.12666666666667</v>
      </c>
      <c r="AL15" s="4" t="n">
        <v>22.89285714285715</v>
      </c>
      <c r="AM15" s="4" t="n">
        <v>23.35</v>
      </c>
    </row>
    <row r="16">
      <c r="A16" s="4" t="n">
        <v>26025030</v>
      </c>
      <c r="B16" s="4" t="inlineStr">
        <is>
          <t>Japio</t>
        </is>
      </c>
      <c r="C16" s="4" t="n">
        <v>1015</v>
      </c>
      <c r="D16" s="4" t="n">
        <v>29.0235294117647</v>
      </c>
      <c r="E16" s="4" t="n">
        <v>29.24705882352941</v>
      </c>
      <c r="F16" s="4" t="n">
        <v>29.27058823529411</v>
      </c>
      <c r="G16" s="4" t="n">
        <v>28.86666666666667</v>
      </c>
      <c r="H16" s="4" t="n">
        <v>28.61111111111111</v>
      </c>
      <c r="I16" s="4" t="n">
        <v>28.80555555555556</v>
      </c>
      <c r="J16" s="4" t="n">
        <v>29.35</v>
      </c>
      <c r="K16" s="4" t="n">
        <v>30.22222222222223</v>
      </c>
      <c r="L16" s="4" t="n">
        <v>29.50588235294117</v>
      </c>
      <c r="M16" s="4" t="n">
        <v>28.74117647058824</v>
      </c>
      <c r="N16" s="4" t="n">
        <v>28.2</v>
      </c>
      <c r="O16" s="4" t="n">
        <v>28.51764705882353</v>
      </c>
      <c r="P16" s="4" t="n">
        <v>18.46</v>
      </c>
      <c r="Q16" s="4" t="n">
        <v>18.485</v>
      </c>
      <c r="R16" s="4" t="n">
        <v>18.68</v>
      </c>
      <c r="S16" s="4" t="n">
        <v>18.84500000000001</v>
      </c>
      <c r="T16" s="4" t="n">
        <v>18.745</v>
      </c>
      <c r="U16" s="4" t="n">
        <v>18.34</v>
      </c>
      <c r="V16" s="4" t="n">
        <v>17.505</v>
      </c>
      <c r="W16" s="4" t="n">
        <v>17.51</v>
      </c>
      <c r="X16" s="4" t="n">
        <v>18.04</v>
      </c>
      <c r="Y16" s="4" t="n">
        <v>18.37</v>
      </c>
      <c r="Z16" s="4" t="n">
        <v>18.55</v>
      </c>
      <c r="AA16" s="4" t="n">
        <v>18.665</v>
      </c>
      <c r="AB16" s="4" t="n">
        <v>23.54761904761904</v>
      </c>
      <c r="AC16" s="4" t="n">
        <v>23.71904761904761</v>
      </c>
      <c r="AD16" s="4" t="n">
        <v>23.61904761904762</v>
      </c>
      <c r="AE16" s="4" t="n">
        <v>23.54761904761905</v>
      </c>
      <c r="AF16" s="4" t="n">
        <v>23.44285714285714</v>
      </c>
      <c r="AG16" s="4" t="n">
        <v>23.52380952380953</v>
      </c>
      <c r="AH16" s="4" t="n">
        <v>23.56190476190476</v>
      </c>
      <c r="AI16" s="4" t="n">
        <v>24.07142857142857</v>
      </c>
      <c r="AJ16" s="4" t="n">
        <v>23.81428571428572</v>
      </c>
      <c r="AK16" s="4" t="n">
        <v>23.29047619047619</v>
      </c>
      <c r="AL16" s="4" t="n">
        <v>23.1</v>
      </c>
      <c r="AM16" s="4" t="n">
        <v>23.37142857142858</v>
      </c>
    </row>
    <row r="17">
      <c r="A17" s="4" t="n">
        <v>26105230</v>
      </c>
      <c r="B17" s="4" t="inlineStr">
        <is>
          <t>Mateguadua</t>
        </is>
      </c>
      <c r="C17" s="4" t="n">
        <v>1025</v>
      </c>
      <c r="D17" s="4" t="n">
        <v>29.41923076923077</v>
      </c>
      <c r="E17" s="4" t="n">
        <v>29.77307692307692</v>
      </c>
      <c r="F17" s="4" t="n">
        <v>29.63846153846153</v>
      </c>
      <c r="G17" s="4" t="n">
        <v>29.35384615384615</v>
      </c>
      <c r="H17" s="4" t="n">
        <v>29.27692307692308</v>
      </c>
      <c r="I17" s="4" t="n">
        <v>29.28076923076922</v>
      </c>
      <c r="J17" s="4" t="n">
        <v>29.69230769230769</v>
      </c>
      <c r="K17" s="4" t="n">
        <v>30.21538461538461</v>
      </c>
      <c r="L17" s="4" t="n">
        <v>29.87692307692307</v>
      </c>
      <c r="M17" s="4" t="n">
        <v>29.3</v>
      </c>
      <c r="N17" s="4" t="n">
        <v>28.97307692307692</v>
      </c>
      <c r="O17" s="4" t="n">
        <v>29.16538461538462</v>
      </c>
      <c r="P17" s="4" t="n">
        <v>17.34074074074074</v>
      </c>
      <c r="Q17" s="4" t="n">
        <v>17.40740740740741</v>
      </c>
      <c r="R17" s="4" t="n">
        <v>17.51111111111111</v>
      </c>
      <c r="S17" s="4" t="n">
        <v>17.71851851851852</v>
      </c>
      <c r="T17" s="4" t="n">
        <v>17.7</v>
      </c>
      <c r="U17" s="4" t="n">
        <v>17.58888888888889</v>
      </c>
      <c r="V17" s="4" t="n">
        <v>17.34074074074074</v>
      </c>
      <c r="W17" s="4" t="n">
        <v>17.4</v>
      </c>
      <c r="X17" s="4" t="n">
        <v>17.31481481481481</v>
      </c>
      <c r="Y17" s="4" t="n">
        <v>17.28518518518518</v>
      </c>
      <c r="Z17" s="4" t="n">
        <v>17.24444444444444</v>
      </c>
      <c r="AA17" s="4" t="n">
        <v>17.33333333333334</v>
      </c>
      <c r="AB17" s="4" t="n">
        <v>22.57307692307693</v>
      </c>
      <c r="AC17" s="4" t="n">
        <v>22.8423076923077</v>
      </c>
      <c r="AD17" s="4" t="n">
        <v>22.73846153846154</v>
      </c>
      <c r="AE17" s="4" t="n">
        <v>22.59615384615384</v>
      </c>
      <c r="AF17" s="4" t="n">
        <v>22.52592592592592</v>
      </c>
      <c r="AG17" s="4" t="n">
        <v>22.58518518518518</v>
      </c>
      <c r="AH17" s="4" t="n">
        <v>22.74074074074074</v>
      </c>
      <c r="AI17" s="4" t="n">
        <v>23.06296296296296</v>
      </c>
      <c r="AJ17" s="4" t="n">
        <v>22.72222222222222</v>
      </c>
      <c r="AK17" s="4" t="n">
        <v>22.30740740740741</v>
      </c>
      <c r="AL17" s="4" t="n">
        <v>22.23703703703704</v>
      </c>
      <c r="AM17" s="4" t="n">
        <v>22.28518518518518</v>
      </c>
    </row>
    <row r="18">
      <c r="A18" s="4" t="n">
        <v>26075010</v>
      </c>
      <c r="B18" s="4" t="inlineStr">
        <is>
          <t>Palmira Ica</t>
        </is>
      </c>
      <c r="C18" s="4" t="n">
        <v>1050</v>
      </c>
      <c r="D18" s="4" t="n">
        <v>29.57272727272727</v>
      </c>
      <c r="E18" s="4" t="n">
        <v>29.92272727272728</v>
      </c>
      <c r="F18" s="4" t="n">
        <v>29.62272727272727</v>
      </c>
      <c r="G18" s="4" t="n">
        <v>29.31363636363636</v>
      </c>
      <c r="H18" s="4" t="n">
        <v>29.04545454545455</v>
      </c>
      <c r="I18" s="4" t="n">
        <v>29.07272727272727</v>
      </c>
      <c r="J18" s="4" t="n">
        <v>29.86363636363636</v>
      </c>
      <c r="K18" s="4" t="n">
        <v>30.23636363636363</v>
      </c>
      <c r="L18" s="4" t="n">
        <v>29.76818181818182</v>
      </c>
      <c r="M18" s="4" t="n">
        <v>29.03636363636364</v>
      </c>
      <c r="N18" s="4" t="n">
        <v>28.68636363636363</v>
      </c>
      <c r="O18" s="4" t="n">
        <v>28.87727272727272</v>
      </c>
      <c r="P18" s="4" t="n">
        <v>19.07727272727273</v>
      </c>
      <c r="Q18" s="4" t="n">
        <v>19.26363636363636</v>
      </c>
      <c r="R18" s="4" t="n">
        <v>19.40909090909091</v>
      </c>
      <c r="S18" s="4" t="n">
        <v>19.46363636363636</v>
      </c>
      <c r="T18" s="4" t="n">
        <v>19.49090909090909</v>
      </c>
      <c r="U18" s="4" t="n">
        <v>19.06818181818182</v>
      </c>
      <c r="V18" s="4" t="n">
        <v>18.76818181818182</v>
      </c>
      <c r="W18" s="4" t="n">
        <v>18.94090909090909</v>
      </c>
      <c r="X18" s="4" t="n">
        <v>19.00454545454546</v>
      </c>
      <c r="Y18" s="4" t="n">
        <v>19.04545454545455</v>
      </c>
      <c r="Z18" s="4" t="n">
        <v>19.04090909090909</v>
      </c>
      <c r="AA18" s="4" t="n">
        <v>19.08181818181818</v>
      </c>
      <c r="AB18" s="4" t="n">
        <v>23.59545454545454</v>
      </c>
      <c r="AC18" s="4" t="n">
        <v>23.90909090909091</v>
      </c>
      <c r="AD18" s="4" t="n">
        <v>23.85714285714286</v>
      </c>
      <c r="AE18" s="4" t="n">
        <v>23.56818181818181</v>
      </c>
      <c r="AF18" s="4" t="n">
        <v>23.57272727272727</v>
      </c>
      <c r="AG18" s="4" t="n">
        <v>23.43636363636364</v>
      </c>
      <c r="AH18" s="4" t="n">
        <v>23.80454545454545</v>
      </c>
      <c r="AI18" s="4" t="n">
        <v>24.04545454545455</v>
      </c>
      <c r="AJ18" s="4" t="n">
        <v>23.78636363636364</v>
      </c>
      <c r="AK18" s="4" t="n">
        <v>23.31818181818182</v>
      </c>
      <c r="AL18" s="4" t="n">
        <v>23.14090909090909</v>
      </c>
      <c r="AM18" s="4" t="n">
        <v>23.31363636363636</v>
      </c>
    </row>
    <row r="19">
      <c r="A19" s="4" t="n">
        <v>26065020</v>
      </c>
      <c r="B19" s="4" t="inlineStr">
        <is>
          <t>Miranda</t>
        </is>
      </c>
      <c r="C19" s="4" t="n">
        <v>1128</v>
      </c>
      <c r="D19" s="4" t="n">
        <v>29.25</v>
      </c>
      <c r="E19" s="4" t="n">
        <v>29.50454545454545</v>
      </c>
      <c r="F19" s="4" t="n">
        <v>29.54090909090909</v>
      </c>
      <c r="G19" s="4" t="n">
        <v>29.13636363636364</v>
      </c>
      <c r="H19" s="4" t="n">
        <v>28.63636363636363</v>
      </c>
      <c r="I19" s="4" t="n">
        <v>28.99130434782608</v>
      </c>
      <c r="J19" s="4" t="n">
        <v>29.3695652173913</v>
      </c>
      <c r="K19" s="4" t="n">
        <v>29.69090909090909</v>
      </c>
      <c r="L19" s="4" t="n">
        <v>29.37272727272727</v>
      </c>
      <c r="M19" s="4" t="n">
        <v>28.53181818181817</v>
      </c>
      <c r="N19" s="4" t="n">
        <v>28.26666666666667</v>
      </c>
      <c r="O19" s="4" t="n">
        <v>28.65</v>
      </c>
      <c r="P19" s="4" t="n">
        <v>18.08333333333333</v>
      </c>
      <c r="Q19" s="4" t="n">
        <v>18.20333333333333</v>
      </c>
      <c r="R19" s="4" t="n">
        <v>18.31</v>
      </c>
      <c r="S19" s="4" t="n">
        <v>18.32666666666667</v>
      </c>
      <c r="T19" s="4" t="n">
        <v>18.35666666666667</v>
      </c>
      <c r="U19" s="4" t="n">
        <v>18.23333333333333</v>
      </c>
      <c r="V19" s="4" t="n">
        <v>17.93333333333333</v>
      </c>
      <c r="W19" s="4" t="n">
        <v>18.10666666666667</v>
      </c>
      <c r="X19" s="4" t="n">
        <v>18.06666666666667</v>
      </c>
      <c r="Y19" s="4" t="n">
        <v>17.99666666666667</v>
      </c>
      <c r="Z19" s="4" t="n">
        <v>17.98333333333333</v>
      </c>
      <c r="AA19" s="4" t="n">
        <v>18.06000000000001</v>
      </c>
      <c r="AB19" s="4" t="n">
        <v>23.48333333333333</v>
      </c>
      <c r="AC19" s="4" t="n">
        <v>23.63666666666667</v>
      </c>
      <c r="AD19" s="4" t="n">
        <v>23.64333333333333</v>
      </c>
      <c r="AE19" s="4" t="n">
        <v>23.46333333333333</v>
      </c>
      <c r="AF19" s="4" t="n">
        <v>23.35</v>
      </c>
      <c r="AG19" s="4" t="n">
        <v>23.50666666666667</v>
      </c>
      <c r="AH19" s="4" t="n">
        <v>23.62333333333333</v>
      </c>
      <c r="AI19" s="4" t="n">
        <v>23.87</v>
      </c>
      <c r="AJ19" s="4" t="n">
        <v>23.56666666666667</v>
      </c>
      <c r="AK19" s="4" t="n">
        <v>23.20666666666666</v>
      </c>
      <c r="AL19" s="4" t="n">
        <v>23.13448275862068</v>
      </c>
      <c r="AM19" s="4" t="n">
        <v>23.27666666666666</v>
      </c>
    </row>
    <row r="20">
      <c r="A20" s="4" t="n">
        <v>26175030</v>
      </c>
      <c r="B20" s="4" t="inlineStr">
        <is>
          <t>Nacional Gja La</t>
        </is>
      </c>
      <c r="C20" s="4" t="n">
        <v>1151</v>
      </c>
      <c r="D20" s="4" t="n">
        <v>28.03214285714286</v>
      </c>
      <c r="E20" s="4" t="n">
        <v>28.95925925925926</v>
      </c>
      <c r="F20" s="4" t="n">
        <v>28.92142857142857</v>
      </c>
      <c r="G20" s="4" t="n">
        <v>27.72499999999999</v>
      </c>
      <c r="H20" s="4" t="n">
        <v>27.02500000000001</v>
      </c>
      <c r="I20" s="4" t="n">
        <v>27.16071428571428</v>
      </c>
      <c r="J20" s="4" t="n">
        <v>27.84642857142857</v>
      </c>
      <c r="K20" s="4" t="n">
        <v>28.31851851851852</v>
      </c>
      <c r="L20" s="4" t="n">
        <v>27.46785714285715</v>
      </c>
      <c r="M20" s="4" t="n">
        <v>26.4642857142857</v>
      </c>
      <c r="N20" s="4" t="n">
        <v>26.49285714285714</v>
      </c>
      <c r="O20" s="4" t="n">
        <v>26.85</v>
      </c>
      <c r="P20" s="4" t="n">
        <v>18.3125</v>
      </c>
      <c r="Q20" s="4" t="n">
        <v>18.6304347826087</v>
      </c>
      <c r="R20" s="4" t="n">
        <v>18.756</v>
      </c>
      <c r="S20" s="4" t="n">
        <v>18.848</v>
      </c>
      <c r="T20" s="4" t="n">
        <v>18.784</v>
      </c>
      <c r="U20" s="4" t="n">
        <v>18.636</v>
      </c>
      <c r="V20" s="4" t="n">
        <v>18.16</v>
      </c>
      <c r="W20" s="4" t="n">
        <v>18.31250000000001</v>
      </c>
      <c r="X20" s="4" t="n">
        <v>18.27916666666667</v>
      </c>
      <c r="Y20" s="4" t="n">
        <v>18.22083333333334</v>
      </c>
      <c r="Z20" s="4" t="n">
        <v>18.50434782608696</v>
      </c>
      <c r="AA20" s="4" t="n">
        <v>18.44782608695652</v>
      </c>
      <c r="AB20" s="4" t="n">
        <v>22.70344827586207</v>
      </c>
      <c r="AC20" s="4" t="n">
        <v>23.38214285714287</v>
      </c>
      <c r="AD20" s="4" t="n">
        <v>23.43448275862069</v>
      </c>
      <c r="AE20" s="4" t="n">
        <v>22.93448275862069</v>
      </c>
      <c r="AF20" s="4" t="n">
        <v>22.51379310344828</v>
      </c>
      <c r="AG20" s="4" t="n">
        <v>22.50344827586207</v>
      </c>
      <c r="AH20" s="4" t="n">
        <v>22.66206896551724</v>
      </c>
      <c r="AI20" s="4" t="n">
        <v>22.95714285714286</v>
      </c>
      <c r="AJ20" s="4" t="n">
        <v>22.38275862068966</v>
      </c>
      <c r="AK20" s="4" t="n">
        <v>21.83103448275862</v>
      </c>
      <c r="AL20" s="4" t="n">
        <v>21.9551724137931</v>
      </c>
      <c r="AM20" s="4" t="n">
        <v>22.13103448275862</v>
      </c>
    </row>
    <row r="21">
      <c r="A21" s="4" t="n">
        <v>26195020</v>
      </c>
      <c r="B21" s="4" t="inlineStr">
        <is>
          <t>Ita Andes</t>
        </is>
      </c>
      <c r="C21" s="4" t="n">
        <v>1180</v>
      </c>
      <c r="D21" s="4" t="n">
        <v>29.11481481481481</v>
      </c>
      <c r="E21" s="4" t="n">
        <v>29.628</v>
      </c>
      <c r="F21" s="4" t="n">
        <v>29.464</v>
      </c>
      <c r="G21" s="4" t="n">
        <v>28.91851851851851</v>
      </c>
      <c r="H21" s="4" t="n">
        <v>28.34615384615385</v>
      </c>
      <c r="I21" s="4" t="n">
        <v>28.25925925925926</v>
      </c>
      <c r="J21" s="4" t="n">
        <v>28.6037037037037</v>
      </c>
      <c r="K21" s="4" t="n">
        <v>28.525</v>
      </c>
      <c r="L21" s="4" t="n">
        <v>28.29166666666667</v>
      </c>
      <c r="M21" s="4" t="n">
        <v>27.94399999999999</v>
      </c>
      <c r="N21" s="4" t="n">
        <v>27.95999999999999</v>
      </c>
      <c r="O21" s="4" t="n">
        <v>28.19166666666667</v>
      </c>
      <c r="P21" s="4" t="n">
        <v>16.408</v>
      </c>
      <c r="Q21" s="4" t="n">
        <v>16.98333333333333</v>
      </c>
      <c r="R21" s="4" t="n">
        <v>17.0625</v>
      </c>
      <c r="S21" s="4" t="n">
        <v>17.032</v>
      </c>
      <c r="T21" s="4" t="n">
        <v>17.012</v>
      </c>
      <c r="U21" s="4" t="n">
        <v>16.664</v>
      </c>
      <c r="V21" s="4" t="n">
        <v>16.48846153846154</v>
      </c>
      <c r="W21" s="4" t="n">
        <v>16.41481481481481</v>
      </c>
      <c r="X21" s="4" t="n">
        <v>16.56521739130435</v>
      </c>
      <c r="Y21" s="4" t="n">
        <v>16.648</v>
      </c>
      <c r="Z21" s="4" t="n">
        <v>16.92916666666667</v>
      </c>
      <c r="AA21" s="4" t="n">
        <v>16.80869565217392</v>
      </c>
      <c r="AB21" s="4" t="n">
        <v>22.09333333333333</v>
      </c>
      <c r="AC21" s="4" t="n">
        <v>22.55666666666667</v>
      </c>
      <c r="AD21" s="4" t="n">
        <v>22.52</v>
      </c>
      <c r="AE21" s="4" t="n">
        <v>22.30333333333333</v>
      </c>
      <c r="AF21" s="4" t="n">
        <v>21.99655172413793</v>
      </c>
      <c r="AG21" s="4" t="n">
        <v>21.84285714285715</v>
      </c>
      <c r="AH21" s="4" t="n">
        <v>21.98666666666667</v>
      </c>
      <c r="AI21" s="4" t="n">
        <v>21.86206896551724</v>
      </c>
      <c r="AJ21" s="4" t="n">
        <v>21.62962962962963</v>
      </c>
      <c r="AK21" s="4" t="n">
        <v>21.62666666666666</v>
      </c>
      <c r="AL21" s="4" t="n">
        <v>21.73103448275863</v>
      </c>
      <c r="AM21" s="4" t="n">
        <v>21.73333333333333</v>
      </c>
    </row>
    <row r="22">
      <c r="A22" s="4" t="n">
        <v>26125060</v>
      </c>
      <c r="B22" s="4" t="inlineStr">
        <is>
          <t>Apto El Eden</t>
        </is>
      </c>
      <c r="C22" s="4" t="n">
        <v>1229</v>
      </c>
      <c r="D22" s="4" t="n">
        <v>27.78000000000001</v>
      </c>
      <c r="E22" s="4" t="n">
        <v>27.98333333333333</v>
      </c>
      <c r="F22" s="4" t="n">
        <v>27.93333333333334</v>
      </c>
      <c r="G22" s="4" t="n">
        <v>27.46333333333333</v>
      </c>
      <c r="H22" s="4" t="n">
        <v>27.27</v>
      </c>
      <c r="I22" s="4" t="n">
        <v>27.38666666666667</v>
      </c>
      <c r="J22" s="4" t="n">
        <v>27.89</v>
      </c>
      <c r="K22" s="4" t="n">
        <v>28.28666666666667</v>
      </c>
      <c r="L22" s="4" t="n">
        <v>27.72000000000001</v>
      </c>
      <c r="M22" s="4" t="n">
        <v>27.09666666666666</v>
      </c>
      <c r="N22" s="4" t="n">
        <v>26.94</v>
      </c>
      <c r="O22" s="4" t="n">
        <v>27.22333333333334</v>
      </c>
      <c r="P22" s="4" t="n">
        <v>16.59333333333333</v>
      </c>
      <c r="Q22" s="4" t="n">
        <v>16.68333333333333</v>
      </c>
      <c r="R22" s="4" t="n">
        <v>16.77</v>
      </c>
      <c r="S22" s="4" t="n">
        <v>17.09666666666667</v>
      </c>
      <c r="T22" s="4" t="n">
        <v>17.25333333333333</v>
      </c>
      <c r="U22" s="4" t="n">
        <v>16.94333333333333</v>
      </c>
      <c r="V22" s="4" t="n">
        <v>16.6</v>
      </c>
      <c r="W22" s="4" t="n">
        <v>16.48333333333333</v>
      </c>
      <c r="X22" s="4" t="n">
        <v>16.51666666666667</v>
      </c>
      <c r="Y22" s="4" t="n">
        <v>16.55</v>
      </c>
      <c r="Z22" s="4" t="n">
        <v>16.65666666666667</v>
      </c>
      <c r="AA22" s="4" t="n">
        <v>16.80666666666667</v>
      </c>
      <c r="AB22" s="4" t="n">
        <v>22.18</v>
      </c>
      <c r="AC22" s="4" t="n">
        <v>22.37333333333334</v>
      </c>
      <c r="AD22" s="4" t="n">
        <v>22.24666666666667</v>
      </c>
      <c r="AE22" s="4" t="n">
        <v>22.04</v>
      </c>
      <c r="AF22" s="4" t="n">
        <v>22.03333333333333</v>
      </c>
      <c r="AG22" s="4" t="n">
        <v>22.15333333333333</v>
      </c>
      <c r="AH22" s="4" t="n">
        <v>22.41333333333333</v>
      </c>
      <c r="AI22" s="4" t="n">
        <v>22.58666666666666</v>
      </c>
      <c r="AJ22" s="4" t="n">
        <v>21.95</v>
      </c>
      <c r="AK22" s="4" t="n">
        <v>21.46333333333333</v>
      </c>
      <c r="AL22" s="4" t="n">
        <v>21.51333333333334</v>
      </c>
      <c r="AM22" s="4" t="n">
        <v>21.86</v>
      </c>
    </row>
    <row r="23">
      <c r="A23" s="4" t="n">
        <v>26175070</v>
      </c>
      <c r="B23" s="4" t="inlineStr">
        <is>
          <t>Rafael Escobar</t>
        </is>
      </c>
      <c r="C23" s="4" t="n">
        <v>1320</v>
      </c>
      <c r="D23" s="4" t="n">
        <v>28.16153846153846</v>
      </c>
      <c r="E23" s="4" t="n">
        <v>28.57692307692307</v>
      </c>
      <c r="F23" s="4" t="n">
        <v>28.70769230769231</v>
      </c>
      <c r="G23" s="4" t="n">
        <v>27.71538461538462</v>
      </c>
      <c r="H23" s="4" t="n">
        <v>27.15384615384615</v>
      </c>
      <c r="I23" s="4" t="n">
        <v>27.43846153846154</v>
      </c>
      <c r="J23" s="4" t="n">
        <v>27.8</v>
      </c>
      <c r="K23" s="4" t="n">
        <v>28.23846153846154</v>
      </c>
      <c r="L23" s="4" t="n">
        <v>27.6</v>
      </c>
      <c r="M23" s="4" t="n">
        <v>26.39230769230769</v>
      </c>
      <c r="N23" s="4" t="n">
        <v>26.93076923076923</v>
      </c>
      <c r="O23" s="4" t="n">
        <v>27.63076923076923</v>
      </c>
      <c r="P23" s="4" t="n">
        <v>17.33846153846154</v>
      </c>
      <c r="Q23" s="4" t="n">
        <v>17.56153846153846</v>
      </c>
      <c r="R23" s="4" t="n">
        <v>17.71538461538461</v>
      </c>
      <c r="S23" s="4" t="n">
        <v>17.79230769230769</v>
      </c>
      <c r="T23" s="4" t="n">
        <v>17.73076923076923</v>
      </c>
      <c r="U23" s="4" t="n">
        <v>17.59230769230769</v>
      </c>
      <c r="V23" s="4" t="n">
        <v>17.05384615384615</v>
      </c>
      <c r="W23" s="4" t="n">
        <v>17.27692307692308</v>
      </c>
      <c r="X23" s="4" t="n">
        <v>17.0923076923077</v>
      </c>
      <c r="Y23" s="4" t="n">
        <v>17.06923076923077</v>
      </c>
      <c r="Z23" s="4" t="n">
        <v>17.25384615384615</v>
      </c>
      <c r="AA23" s="4" t="n">
        <v>17.22307692307692</v>
      </c>
      <c r="AB23" s="4" t="n">
        <v>22.23076923076923</v>
      </c>
      <c r="AC23" s="4" t="n">
        <v>22.58461538461538</v>
      </c>
      <c r="AD23" s="4" t="n">
        <v>22.7</v>
      </c>
      <c r="AE23" s="4" t="n">
        <v>22.23076923076923</v>
      </c>
      <c r="AF23" s="4" t="n">
        <v>21.92307692307692</v>
      </c>
      <c r="AG23" s="4" t="n">
        <v>22.13846153846154</v>
      </c>
      <c r="AH23" s="4" t="n">
        <v>22.22307692307692</v>
      </c>
      <c r="AI23" s="4" t="n">
        <v>22.41538461538461</v>
      </c>
      <c r="AJ23" s="4" t="n">
        <v>21.80833333333333</v>
      </c>
      <c r="AK23" s="4" t="n">
        <v>21.29230769230769</v>
      </c>
      <c r="AL23" s="4" t="n">
        <v>21.31666666666667</v>
      </c>
      <c r="AM23" s="4" t="n">
        <v>21.84615384615385</v>
      </c>
    </row>
    <row r="24">
      <c r="A24" s="4" t="n">
        <v>26135040</v>
      </c>
      <c r="B24" s="4" t="inlineStr">
        <is>
          <t>Apto Matecana</t>
        </is>
      </c>
      <c r="C24" s="4" t="n">
        <v>1342</v>
      </c>
      <c r="D24" s="4" t="n">
        <v>26.84333333333334</v>
      </c>
      <c r="E24" s="4" t="n">
        <v>27.07333333333333</v>
      </c>
      <c r="F24" s="4" t="n">
        <v>26.88666666666666</v>
      </c>
      <c r="G24" s="4" t="n">
        <v>26.15999999999999</v>
      </c>
      <c r="H24" s="4" t="n">
        <v>25.9</v>
      </c>
      <c r="I24" s="4" t="n">
        <v>25.95</v>
      </c>
      <c r="J24" s="4" t="n">
        <v>26.49</v>
      </c>
      <c r="K24" s="4" t="n">
        <v>26.85</v>
      </c>
      <c r="L24" s="4" t="n">
        <v>26.43999999999999</v>
      </c>
      <c r="M24" s="4" t="n">
        <v>25.79333333333333</v>
      </c>
      <c r="N24" s="4" t="n">
        <v>25.63</v>
      </c>
      <c r="O24" s="4" t="n">
        <v>26.01999999999999</v>
      </c>
      <c r="P24" s="4" t="n">
        <v>17.40666666666667</v>
      </c>
      <c r="Q24" s="4" t="n">
        <v>17.52666666666666</v>
      </c>
      <c r="R24" s="4" t="n">
        <v>17.64</v>
      </c>
      <c r="S24" s="4" t="n">
        <v>17.64</v>
      </c>
      <c r="T24" s="4" t="n">
        <v>17.58</v>
      </c>
      <c r="U24" s="4" t="n">
        <v>17.41666666666667</v>
      </c>
      <c r="V24" s="4" t="n">
        <v>17.17333333333333</v>
      </c>
      <c r="W24" s="4" t="n">
        <v>17.19</v>
      </c>
      <c r="X24" s="4" t="n">
        <v>17.09666666666666</v>
      </c>
      <c r="Y24" s="4" t="n">
        <v>17.04333333333333</v>
      </c>
      <c r="Z24" s="4" t="n">
        <v>17.23666666666667</v>
      </c>
      <c r="AA24" s="4" t="n">
        <v>17.40666666666667</v>
      </c>
      <c r="AB24" s="4" t="n">
        <v>21.79666666666667</v>
      </c>
      <c r="AC24" s="4" t="n">
        <v>22.04</v>
      </c>
      <c r="AD24" s="4" t="n">
        <v>21.86666666666667</v>
      </c>
      <c r="AE24" s="4" t="n">
        <v>21.53333333333333</v>
      </c>
      <c r="AF24" s="4" t="n">
        <v>21.41666666666667</v>
      </c>
      <c r="AG24" s="4" t="n">
        <v>21.47333333333334</v>
      </c>
      <c r="AH24" s="4" t="n">
        <v>21.72666666666667</v>
      </c>
      <c r="AI24" s="4" t="n">
        <v>21.97</v>
      </c>
      <c r="AJ24" s="4" t="n">
        <v>21.46</v>
      </c>
      <c r="AK24" s="4" t="n">
        <v>20.91666666666667</v>
      </c>
      <c r="AL24" s="4" t="n">
        <v>20.93666666666666</v>
      </c>
      <c r="AM24" s="4" t="n">
        <v>21.35333333333333</v>
      </c>
    </row>
    <row r="25">
      <c r="A25" s="4" t="n">
        <v>26125070</v>
      </c>
      <c r="B25" s="4" t="inlineStr">
        <is>
          <t>Bella La</t>
        </is>
      </c>
      <c r="C25" s="4" t="n">
        <v>1450</v>
      </c>
      <c r="D25" s="4" t="n">
        <v>25.60833333333333</v>
      </c>
      <c r="E25" s="4" t="n">
        <v>25.94166666666667</v>
      </c>
      <c r="F25" s="4" t="n">
        <v>26.05833333333333</v>
      </c>
      <c r="G25" s="4" t="n">
        <v>25.1</v>
      </c>
      <c r="H25" s="4" t="n">
        <v>25.04166666666667</v>
      </c>
      <c r="I25" s="4" t="n">
        <v>25.3</v>
      </c>
      <c r="J25" s="4" t="n">
        <v>25.89166666666667</v>
      </c>
      <c r="K25" s="4" t="n">
        <v>26.25833333333333</v>
      </c>
      <c r="L25" s="4" t="n">
        <v>25.6</v>
      </c>
      <c r="M25" s="4" t="n">
        <v>24.59166666666667</v>
      </c>
      <c r="N25" s="4" t="n">
        <v>24.71666666666667</v>
      </c>
      <c r="O25" s="4" t="n">
        <v>25.11666666666666</v>
      </c>
      <c r="P25" s="4" t="n">
        <v>16.14166666666667</v>
      </c>
      <c r="Q25" s="4" t="n">
        <v>16.36666666666666</v>
      </c>
      <c r="R25" s="4" t="n">
        <v>16.49166666666666</v>
      </c>
      <c r="S25" s="4" t="n">
        <v>16.68181818181818</v>
      </c>
      <c r="T25" s="4" t="n">
        <v>16.59166666666667</v>
      </c>
      <c r="U25" s="4" t="n">
        <v>16.38333333333333</v>
      </c>
      <c r="V25" s="4" t="n">
        <v>16.05</v>
      </c>
      <c r="W25" s="4" t="n">
        <v>16.16666666666666</v>
      </c>
      <c r="X25" s="4" t="n">
        <v>15.95833333333333</v>
      </c>
      <c r="Y25" s="4" t="n">
        <v>16.00833333333333</v>
      </c>
      <c r="Z25" s="4" t="n">
        <v>16.05833333333333</v>
      </c>
      <c r="AA25" s="4" t="n">
        <v>15.99166666666667</v>
      </c>
      <c r="AB25" s="4" t="n">
        <v>20.58333333333333</v>
      </c>
      <c r="AC25" s="4" t="n">
        <v>20.88333333333334</v>
      </c>
      <c r="AD25" s="4" t="n">
        <v>20.90833333333333</v>
      </c>
      <c r="AE25" s="4" t="n">
        <v>20.71818181818182</v>
      </c>
      <c r="AF25" s="4" t="n">
        <v>20.59166666666667</v>
      </c>
      <c r="AG25" s="4" t="n">
        <v>20.875</v>
      </c>
      <c r="AH25" s="4" t="n">
        <v>21.05833333333333</v>
      </c>
      <c r="AI25" s="4" t="n">
        <v>21.19166666666667</v>
      </c>
      <c r="AJ25" s="4" t="n">
        <v>20.44166666666667</v>
      </c>
      <c r="AK25" s="4" t="n">
        <v>19.85833333333333</v>
      </c>
      <c r="AL25" s="4" t="n">
        <v>19.925</v>
      </c>
      <c r="AM25" s="4" t="n">
        <v>20.225</v>
      </c>
    </row>
    <row r="26">
      <c r="A26" s="4" t="n">
        <v>26085130</v>
      </c>
      <c r="B26" s="4" t="inlineStr">
        <is>
          <t>Buitrera La</t>
        </is>
      </c>
      <c r="C26" s="4" t="n">
        <v>1500</v>
      </c>
      <c r="D26" s="4" t="n">
        <v>26.07142857142857</v>
      </c>
      <c r="E26" s="4" t="n">
        <v>26.58636363636364</v>
      </c>
      <c r="F26" s="4" t="n">
        <v>26.29545454545455</v>
      </c>
      <c r="G26" s="4" t="n">
        <v>25.95909090909091</v>
      </c>
      <c r="H26" s="4" t="n">
        <v>25.55</v>
      </c>
      <c r="I26" s="4" t="n">
        <v>25.83181818181819</v>
      </c>
      <c r="J26" s="4" t="n">
        <v>26.73181818181818</v>
      </c>
      <c r="K26" s="4" t="n">
        <v>27.53636363636364</v>
      </c>
      <c r="L26" s="4" t="n">
        <v>27.01363636363636</v>
      </c>
      <c r="M26" s="4" t="n">
        <v>25.95238095238095</v>
      </c>
      <c r="N26" s="4" t="n">
        <v>25.1047619047619</v>
      </c>
      <c r="O26" s="4" t="n">
        <v>25.35</v>
      </c>
      <c r="P26" s="4" t="n">
        <v>16.57</v>
      </c>
      <c r="Q26" s="4" t="n">
        <v>16.53636363636364</v>
      </c>
      <c r="R26" s="4" t="n">
        <v>16.55454545454546</v>
      </c>
      <c r="S26" s="4" t="n">
        <v>16.57727272727272</v>
      </c>
      <c r="T26" s="4" t="n">
        <v>16.71818181818182</v>
      </c>
      <c r="U26" s="4" t="n">
        <v>16.54090909090909</v>
      </c>
      <c r="V26" s="4" t="n">
        <v>16.34545454545454</v>
      </c>
      <c r="W26" s="4" t="n">
        <v>16.31363636363636</v>
      </c>
      <c r="X26" s="4" t="n">
        <v>16.24761904761905</v>
      </c>
      <c r="Y26" s="4" t="n">
        <v>16.25263157894737</v>
      </c>
      <c r="Z26" s="4" t="n">
        <v>16.25789473684211</v>
      </c>
      <c r="AA26" s="4" t="n">
        <v>16.41052631578947</v>
      </c>
      <c r="AB26" s="4" t="n">
        <v>20.64347826086957</v>
      </c>
      <c r="AC26" s="4" t="n">
        <v>20.93750000000001</v>
      </c>
      <c r="AD26" s="4" t="n">
        <v>20.89583333333333</v>
      </c>
      <c r="AE26" s="4" t="n">
        <v>20.65</v>
      </c>
      <c r="AF26" s="4" t="n">
        <v>20.6</v>
      </c>
      <c r="AG26" s="4" t="n">
        <v>20.69583333333334</v>
      </c>
      <c r="AH26" s="4" t="n">
        <v>21.08333333333333</v>
      </c>
      <c r="AI26" s="4" t="n">
        <v>21.22083333333333</v>
      </c>
      <c r="AJ26" s="4" t="n">
        <v>20.925</v>
      </c>
      <c r="AK26" s="4" t="n">
        <v>20.51304347826087</v>
      </c>
      <c r="AL26" s="4" t="n">
        <v>19.96521739130435</v>
      </c>
      <c r="AM26" s="4" t="n">
        <v>20.23478260869565</v>
      </c>
    </row>
    <row r="27">
      <c r="A27" s="4" t="n">
        <v>26195010</v>
      </c>
      <c r="B27" s="4" t="inlineStr">
        <is>
          <t>Miguel Valencia</t>
        </is>
      </c>
      <c r="C27" s="4" t="n">
        <v>1570</v>
      </c>
      <c r="D27" s="4" t="n">
        <v>25.3</v>
      </c>
      <c r="E27" s="4" t="n">
        <v>25.80769230769231</v>
      </c>
      <c r="F27" s="4" t="n">
        <v>26.03846153846154</v>
      </c>
      <c r="G27" s="4" t="n">
        <v>25.6</v>
      </c>
      <c r="H27" s="4" t="n">
        <v>25.26153846153846</v>
      </c>
      <c r="I27" s="4" t="n">
        <v>25.69230769230769</v>
      </c>
      <c r="J27" s="4" t="n">
        <v>25.78461538461539</v>
      </c>
      <c r="K27" s="4" t="n">
        <v>25.68461538461538</v>
      </c>
      <c r="L27" s="4" t="n">
        <v>25.06923076923077</v>
      </c>
      <c r="M27" s="4" t="n">
        <v>24.58461538461539</v>
      </c>
      <c r="N27" s="4" t="n">
        <v>24.8</v>
      </c>
      <c r="O27" s="4" t="n">
        <v>25.05384615384615</v>
      </c>
      <c r="P27" s="4" t="n">
        <v>15.06923076923077</v>
      </c>
      <c r="Q27" s="4" t="n">
        <v>15.23076923076923</v>
      </c>
      <c r="R27" s="4" t="n">
        <v>15.37692307692308</v>
      </c>
      <c r="S27" s="4" t="n">
        <v>15.7</v>
      </c>
      <c r="T27" s="4" t="n">
        <v>15.44615384615384</v>
      </c>
      <c r="U27" s="4" t="n">
        <v>14.99230769230769</v>
      </c>
      <c r="V27" s="4" t="n">
        <v>14.46923076923077</v>
      </c>
      <c r="W27" s="4" t="n">
        <v>14.68461538461539</v>
      </c>
      <c r="X27" s="4" t="n">
        <v>14.72307692307692</v>
      </c>
      <c r="Y27" s="4" t="n">
        <v>14.83846153846154</v>
      </c>
      <c r="Z27" s="4" t="n">
        <v>15.12307692307692</v>
      </c>
      <c r="AA27" s="4" t="n">
        <v>15.01538461538462</v>
      </c>
      <c r="AB27" s="4" t="n">
        <v>19.03076923076923</v>
      </c>
      <c r="AC27" s="4" t="n">
        <v>19.53076923076923</v>
      </c>
      <c r="AD27" s="4" t="n">
        <v>19.70769230769231</v>
      </c>
      <c r="AE27" s="4" t="n">
        <v>19.73846153846154</v>
      </c>
      <c r="AF27" s="4" t="n">
        <v>19.47692307692308</v>
      </c>
      <c r="AG27" s="4" t="n">
        <v>19.52307692307692</v>
      </c>
      <c r="AH27" s="4" t="n">
        <v>19.31538461538462</v>
      </c>
      <c r="AI27" s="4" t="n">
        <v>19.32307692307692</v>
      </c>
      <c r="AJ27" s="4" t="n">
        <v>18.81538461538461</v>
      </c>
      <c r="AK27" s="4" t="n">
        <v>18.66153846153846</v>
      </c>
      <c r="AL27" s="4" t="n">
        <v>18.79230769230769</v>
      </c>
      <c r="AM27" s="4" t="n">
        <v>18.90769230769231</v>
      </c>
    </row>
    <row r="28">
      <c r="A28" s="4" t="n">
        <v>26205020</v>
      </c>
      <c r="B28" s="4" t="inlineStr">
        <is>
          <t>Rosario El</t>
        </is>
      </c>
      <c r="C28" s="4" t="n">
        <v>1600</v>
      </c>
      <c r="D28" s="4" t="n">
        <v>24.98461538461538</v>
      </c>
      <c r="E28" s="4" t="n">
        <v>25.63846153846154</v>
      </c>
      <c r="F28" s="4" t="n">
        <v>26.06923076923077</v>
      </c>
      <c r="G28" s="4" t="n">
        <v>24.89230769230769</v>
      </c>
      <c r="H28" s="4" t="n">
        <v>24.51538461538462</v>
      </c>
      <c r="I28" s="4" t="n">
        <v>24.95384615384615</v>
      </c>
      <c r="J28" s="4" t="n">
        <v>25.41538461538461</v>
      </c>
      <c r="K28" s="4" t="n">
        <v>25.22307692307692</v>
      </c>
      <c r="L28" s="4" t="n">
        <v>24.5923076923077</v>
      </c>
      <c r="M28" s="4" t="n">
        <v>23.55384615384615</v>
      </c>
      <c r="N28" s="4" t="n">
        <v>23.77692307692308</v>
      </c>
      <c r="O28" s="4" t="n">
        <v>24.44615384615385</v>
      </c>
      <c r="P28" s="4" t="n">
        <v>16.01538461538462</v>
      </c>
      <c r="Q28" s="4" t="n">
        <v>16.28461538461539</v>
      </c>
      <c r="R28" s="4" t="n">
        <v>16.52307692307692</v>
      </c>
      <c r="S28" s="4" t="n">
        <v>16.31538461538462</v>
      </c>
      <c r="T28" s="4" t="n">
        <v>16.14615384615385</v>
      </c>
      <c r="U28" s="4" t="n">
        <v>16.18461538461538</v>
      </c>
      <c r="V28" s="4" t="n">
        <v>16.03076923076923</v>
      </c>
      <c r="W28" s="4" t="n">
        <v>16.03076923076923</v>
      </c>
      <c r="X28" s="4" t="n">
        <v>15.59230769230769</v>
      </c>
      <c r="Y28" s="4" t="n">
        <v>15.39230769230769</v>
      </c>
      <c r="Z28" s="4" t="n">
        <v>15.83076923076923</v>
      </c>
      <c r="AA28" s="4" t="n">
        <v>16.10769230769231</v>
      </c>
      <c r="AB28" s="4" t="n">
        <v>20.34615384615385</v>
      </c>
      <c r="AC28" s="4" t="n">
        <v>20.73846153846154</v>
      </c>
      <c r="AD28" s="4" t="n">
        <v>21.02307692307692</v>
      </c>
      <c r="AE28" s="4" t="n">
        <v>20.32307692307693</v>
      </c>
      <c r="AF28" s="4" t="n">
        <v>20.06923076923077</v>
      </c>
      <c r="AG28" s="4" t="n">
        <v>20.5</v>
      </c>
      <c r="AH28" s="4" t="n">
        <v>20.79230769230769</v>
      </c>
      <c r="AI28" s="4" t="n">
        <v>20.57692307692308</v>
      </c>
      <c r="AJ28" s="4" t="n">
        <v>19.9</v>
      </c>
      <c r="AK28" s="4" t="n">
        <v>19.12307692307692</v>
      </c>
      <c r="AL28" s="4" t="n">
        <v>19.4</v>
      </c>
      <c r="AM28" s="4" t="n">
        <v>19.9</v>
      </c>
    </row>
    <row r="29">
      <c r="A29" s="4" t="n">
        <v>26135060</v>
      </c>
      <c r="B29" s="4" t="inlineStr">
        <is>
          <t>Jazmin El</t>
        </is>
      </c>
      <c r="C29" s="4" t="n">
        <v>1600</v>
      </c>
      <c r="D29" s="4" t="n">
        <v>25.23333333333333</v>
      </c>
      <c r="E29" s="4" t="n">
        <v>25.18333333333333</v>
      </c>
      <c r="F29" s="4" t="n">
        <v>25.54166666666667</v>
      </c>
      <c r="G29" s="4" t="n">
        <v>24.5</v>
      </c>
      <c r="H29" s="4" t="n">
        <v>24.27272727272727</v>
      </c>
      <c r="I29" s="4" t="n">
        <v>24.89090909090909</v>
      </c>
      <c r="J29" s="4" t="n">
        <v>25.32727272727272</v>
      </c>
      <c r="K29" s="4" t="n">
        <v>25.325</v>
      </c>
      <c r="L29" s="4" t="n">
        <v>24.69166666666667</v>
      </c>
      <c r="M29" s="4" t="n">
        <v>23.65</v>
      </c>
      <c r="N29" s="4" t="n">
        <v>23.86666666666666</v>
      </c>
      <c r="O29" s="4" t="n">
        <v>24.63333333333334</v>
      </c>
      <c r="P29" s="4" t="n">
        <v>15.50833333333333</v>
      </c>
      <c r="Q29" s="4" t="n">
        <v>15.59166666666666</v>
      </c>
      <c r="R29" s="4" t="n">
        <v>15.85833333333333</v>
      </c>
      <c r="S29" s="4" t="n">
        <v>15.59166666666667</v>
      </c>
      <c r="T29" s="4" t="n">
        <v>15.45454545454546</v>
      </c>
      <c r="U29" s="4" t="n">
        <v>15.55454545454545</v>
      </c>
      <c r="V29" s="4" t="n">
        <v>15.39090909090909</v>
      </c>
      <c r="W29" s="4" t="n">
        <v>15.59166666666667</v>
      </c>
      <c r="X29" s="4" t="n">
        <v>15.125</v>
      </c>
      <c r="Y29" s="4" t="n">
        <v>14.90833333333333</v>
      </c>
      <c r="Z29" s="4" t="n">
        <v>15.10833333333333</v>
      </c>
      <c r="AA29" s="4" t="n">
        <v>15.30833333333333</v>
      </c>
      <c r="AB29" s="4" t="n">
        <v>19.83333333333334</v>
      </c>
      <c r="AC29" s="4" t="n">
        <v>19.975</v>
      </c>
      <c r="AD29" s="4" t="n">
        <v>20.175</v>
      </c>
      <c r="AE29" s="4" t="n">
        <v>19.55</v>
      </c>
      <c r="AF29" s="4" t="n">
        <v>19.41818181818182</v>
      </c>
      <c r="AG29" s="4" t="n">
        <v>19.73636363636364</v>
      </c>
      <c r="AH29" s="4" t="n">
        <v>20.02727272727273</v>
      </c>
      <c r="AI29" s="4" t="n">
        <v>20.075</v>
      </c>
      <c r="AJ29" s="4" t="n">
        <v>19.38333333333333</v>
      </c>
      <c r="AK29" s="4" t="n">
        <v>18.68333333333333</v>
      </c>
      <c r="AL29" s="4" t="n">
        <v>18.825</v>
      </c>
      <c r="AM29" s="4" t="n">
        <v>19.4</v>
      </c>
    </row>
    <row r="30">
      <c r="A30" s="4" t="n">
        <v>26145030</v>
      </c>
      <c r="B30" s="4" t="inlineStr">
        <is>
          <t>Camelia La</t>
        </is>
      </c>
      <c r="C30" s="4" t="n">
        <v>1650</v>
      </c>
      <c r="D30" s="4" t="n">
        <v>23.78</v>
      </c>
      <c r="E30" s="4" t="n">
        <v>24.07</v>
      </c>
      <c r="F30" s="4" t="n">
        <v>23.98333333333333</v>
      </c>
      <c r="G30" s="4" t="n">
        <v>23.42000000000001</v>
      </c>
      <c r="H30" s="4" t="n">
        <v>23.36333333333333</v>
      </c>
      <c r="I30" s="4" t="n">
        <v>23.48</v>
      </c>
      <c r="J30" s="4" t="n">
        <v>23.90666666666666</v>
      </c>
      <c r="K30" s="4" t="n">
        <v>24.31333333333333</v>
      </c>
      <c r="L30" s="4" t="n">
        <v>23.88333333333333</v>
      </c>
      <c r="M30" s="4" t="n">
        <v>23.07333333333334</v>
      </c>
      <c r="N30" s="4" t="n">
        <v>22.85333333333334</v>
      </c>
      <c r="O30" s="4" t="n">
        <v>23.18</v>
      </c>
      <c r="P30" s="4" t="n">
        <v>16.124</v>
      </c>
      <c r="Q30" s="4" t="n">
        <v>16.2</v>
      </c>
      <c r="R30" s="4" t="n">
        <v>16.31538461538462</v>
      </c>
      <c r="S30" s="4" t="n">
        <v>16.33846153846154</v>
      </c>
      <c r="T30" s="4" t="n">
        <v>16.41923076923077</v>
      </c>
      <c r="U30" s="4" t="n">
        <v>16.33846153846154</v>
      </c>
      <c r="V30" s="4" t="n">
        <v>16.21851851851852</v>
      </c>
      <c r="W30" s="4" t="n">
        <v>16.27037037037037</v>
      </c>
      <c r="X30" s="4" t="n">
        <v>16.06666666666667</v>
      </c>
      <c r="Y30" s="4" t="n">
        <v>15.87777777777778</v>
      </c>
      <c r="Z30" s="4" t="n">
        <v>15.8875</v>
      </c>
      <c r="AA30" s="4" t="n">
        <v>16.05185185185185</v>
      </c>
      <c r="AB30" s="4" t="n">
        <v>19.14666666666666</v>
      </c>
      <c r="AC30" s="4" t="n">
        <v>19.35</v>
      </c>
      <c r="AD30" s="4" t="n">
        <v>19.35</v>
      </c>
      <c r="AE30" s="4" t="n">
        <v>19.26666666666667</v>
      </c>
      <c r="AF30" s="4" t="n">
        <v>19.23666666666667</v>
      </c>
      <c r="AG30" s="4" t="n">
        <v>19.29666666666667</v>
      </c>
      <c r="AH30" s="4" t="n">
        <v>19.55666666666667</v>
      </c>
      <c r="AI30" s="4" t="n">
        <v>19.65333333333333</v>
      </c>
      <c r="AJ30" s="4" t="n">
        <v>19.20666666666666</v>
      </c>
      <c r="AK30" s="4" t="n">
        <v>18.69333333333334</v>
      </c>
      <c r="AL30" s="4" t="n">
        <v>18.67333333333333</v>
      </c>
      <c r="AM30" s="4" t="n">
        <v>18.86666666666666</v>
      </c>
    </row>
    <row r="31">
      <c r="A31" s="4" t="n">
        <v>26125130</v>
      </c>
      <c r="B31" s="4" t="inlineStr">
        <is>
          <t>Cumbarco</t>
        </is>
      </c>
      <c r="C31" s="4" t="n">
        <v>1692</v>
      </c>
      <c r="D31" s="4" t="n">
        <v>23.3608695652174</v>
      </c>
      <c r="E31" s="4" t="n">
        <v>23.53478260869565</v>
      </c>
      <c r="F31" s="4" t="n">
        <v>23.49130434782609</v>
      </c>
      <c r="G31" s="4" t="n">
        <v>23.19130434782609</v>
      </c>
      <c r="H31" s="4" t="n">
        <v>23.15833333333333</v>
      </c>
      <c r="I31" s="4" t="n">
        <v>23.45</v>
      </c>
      <c r="J31" s="4" t="n">
        <v>23.85416666666667</v>
      </c>
      <c r="K31" s="4" t="n">
        <v>24.23333333333333</v>
      </c>
      <c r="L31" s="4" t="n">
        <v>23.76666666666666</v>
      </c>
      <c r="M31" s="4" t="n">
        <v>22.825</v>
      </c>
      <c r="N31" s="4" t="n">
        <v>22.54782608695652</v>
      </c>
      <c r="O31" s="4" t="n">
        <v>22.7625</v>
      </c>
      <c r="P31" s="4" t="n">
        <v>15</v>
      </c>
      <c r="Q31" s="4" t="n">
        <v>15.04333333333333</v>
      </c>
      <c r="R31" s="4" t="n">
        <v>15.05666666666666</v>
      </c>
      <c r="S31" s="4" t="n">
        <v>15.16333333333333</v>
      </c>
      <c r="T31" s="4" t="n">
        <v>15.24333333333334</v>
      </c>
      <c r="U31" s="4" t="n">
        <v>15.11</v>
      </c>
      <c r="V31" s="4" t="n">
        <v>15.09333333333333</v>
      </c>
      <c r="W31" s="4" t="n">
        <v>15.35</v>
      </c>
      <c r="X31" s="4" t="n">
        <v>15.12666666666667</v>
      </c>
      <c r="Y31" s="4" t="n">
        <v>15</v>
      </c>
      <c r="Z31" s="4" t="n">
        <v>15.02333333333334</v>
      </c>
      <c r="AA31" s="4" t="n">
        <v>15.07333333333333</v>
      </c>
      <c r="AB31" s="4" t="n">
        <v>18.94</v>
      </c>
      <c r="AC31" s="4" t="n">
        <v>18.98</v>
      </c>
      <c r="AD31" s="4" t="n">
        <v>18.84000000000001</v>
      </c>
      <c r="AE31" s="4" t="n">
        <v>18.79333333333334</v>
      </c>
      <c r="AF31" s="4" t="n">
        <v>18.84333333333333</v>
      </c>
      <c r="AG31" s="4" t="n">
        <v>18.99</v>
      </c>
      <c r="AH31" s="4" t="n">
        <v>19.20666666666666</v>
      </c>
      <c r="AI31" s="4" t="n">
        <v>19.44</v>
      </c>
      <c r="AJ31" s="4" t="n">
        <v>18.96</v>
      </c>
      <c r="AK31" s="4" t="n">
        <v>18.45</v>
      </c>
      <c r="AL31" s="4" t="n">
        <v>18.41</v>
      </c>
      <c r="AM31" s="4" t="n">
        <v>18.64666666666667</v>
      </c>
    </row>
    <row r="32">
      <c r="A32" s="4" t="n">
        <v>26135110</v>
      </c>
      <c r="B32" s="4" t="inlineStr">
        <is>
          <t>Veracruz</t>
        </is>
      </c>
      <c r="C32" s="4" t="n">
        <v>1720</v>
      </c>
      <c r="D32" s="4" t="n">
        <v>24.18</v>
      </c>
      <c r="E32" s="4" t="n">
        <v>24.29666666666667</v>
      </c>
      <c r="F32" s="4" t="n">
        <v>24.11333333333333</v>
      </c>
      <c r="G32" s="4" t="n">
        <v>23.74666666666667</v>
      </c>
      <c r="H32" s="4" t="n">
        <v>23.56666666666667</v>
      </c>
      <c r="I32" s="4" t="n">
        <v>23.61666666666667</v>
      </c>
      <c r="J32" s="4" t="n">
        <v>23.99666666666667</v>
      </c>
      <c r="K32" s="4" t="n">
        <v>24.00666666666667</v>
      </c>
      <c r="L32" s="4" t="n">
        <v>23.73</v>
      </c>
      <c r="M32" s="4" t="n">
        <v>23.25333333333333</v>
      </c>
      <c r="N32" s="4" t="n">
        <v>23.24333333333334</v>
      </c>
      <c r="O32" s="4" t="n">
        <v>23.56666666666667</v>
      </c>
      <c r="P32" s="4" t="n">
        <v>14.50740740740741</v>
      </c>
      <c r="Q32" s="4" t="n">
        <v>14.70740740740741</v>
      </c>
      <c r="R32" s="4" t="n">
        <v>14.90714285714286</v>
      </c>
      <c r="S32" s="4" t="n">
        <v>14.84642857142857</v>
      </c>
      <c r="T32" s="4" t="n">
        <v>14.76551724137931</v>
      </c>
      <c r="U32" s="4" t="n">
        <v>14.68620689655172</v>
      </c>
      <c r="V32" s="4" t="n">
        <v>14.53103448275862</v>
      </c>
      <c r="W32" s="4" t="n">
        <v>14.46551724137931</v>
      </c>
      <c r="X32" s="4" t="n">
        <v>14.41034482758621</v>
      </c>
      <c r="Y32" s="4" t="n">
        <v>14.27241379310345</v>
      </c>
      <c r="Z32" s="4" t="n">
        <v>14.525</v>
      </c>
      <c r="AA32" s="4" t="n">
        <v>14.40357142857143</v>
      </c>
      <c r="AB32" s="4" t="n">
        <v>18.90666666666667</v>
      </c>
      <c r="AC32" s="4" t="n">
        <v>19.10333333333333</v>
      </c>
      <c r="AD32" s="4" t="n">
        <v>19.07666666666667</v>
      </c>
      <c r="AE32" s="4" t="n">
        <v>18.81</v>
      </c>
      <c r="AF32" s="4" t="n">
        <v>18.73666666666667</v>
      </c>
      <c r="AG32" s="4" t="n">
        <v>18.73666666666667</v>
      </c>
      <c r="AH32" s="4" t="n">
        <v>18.95</v>
      </c>
      <c r="AI32" s="4" t="n">
        <v>18.9</v>
      </c>
      <c r="AJ32" s="4" t="n">
        <v>18.65</v>
      </c>
      <c r="AK32" s="4" t="n">
        <v>18.29</v>
      </c>
      <c r="AL32" s="4" t="n">
        <v>18.43666666666667</v>
      </c>
      <c r="AM32" s="4" t="n">
        <v>18.60333333333334</v>
      </c>
    </row>
    <row r="33">
      <c r="A33" s="4" t="n">
        <v>26025100</v>
      </c>
      <c r="B33" s="4" t="inlineStr">
        <is>
          <t>Tunia</t>
        </is>
      </c>
      <c r="C33" s="4" t="n">
        <v>1800</v>
      </c>
      <c r="D33" s="4" t="n">
        <v>23.58571428571428</v>
      </c>
      <c r="E33" s="4" t="n">
        <v>23.87142857142857</v>
      </c>
      <c r="F33" s="4" t="n">
        <v>23.78571428571429</v>
      </c>
      <c r="G33" s="4" t="n">
        <v>23.60952380952381</v>
      </c>
      <c r="H33" s="4" t="n">
        <v>23.61904761904762</v>
      </c>
      <c r="I33" s="4" t="n">
        <v>23.72380952380952</v>
      </c>
      <c r="J33" s="4" t="n">
        <v>24.4</v>
      </c>
      <c r="K33" s="4" t="n">
        <v>24.97142857142858</v>
      </c>
      <c r="L33" s="4" t="n">
        <v>24.38095238095239</v>
      </c>
      <c r="M33" s="4" t="n">
        <v>23.56666666666667</v>
      </c>
      <c r="N33" s="4" t="n">
        <v>22.95714285714286</v>
      </c>
      <c r="O33" s="4" t="n">
        <v>23.07142857142857</v>
      </c>
      <c r="P33" s="4" t="n">
        <v>14.21428571428571</v>
      </c>
      <c r="Q33" s="4" t="n">
        <v>14.49047619047619</v>
      </c>
      <c r="R33" s="4" t="n">
        <v>14.71904761904762</v>
      </c>
      <c r="S33" s="4" t="n">
        <v>14.90476190476191</v>
      </c>
      <c r="T33" s="4" t="n">
        <v>14.81428571428571</v>
      </c>
      <c r="U33" s="4" t="n">
        <v>14.47142857142857</v>
      </c>
      <c r="V33" s="4" t="n">
        <v>14</v>
      </c>
      <c r="W33" s="4" t="n">
        <v>14</v>
      </c>
      <c r="X33" s="4" t="n">
        <v>13.96666666666667</v>
      </c>
      <c r="Y33" s="4" t="n">
        <v>14.24285714285714</v>
      </c>
      <c r="Z33" s="4" t="n">
        <v>14.35714285714285</v>
      </c>
      <c r="AA33" s="4" t="n">
        <v>14.39047619047619</v>
      </c>
      <c r="AB33" s="4" t="n">
        <v>19.0047619047619</v>
      </c>
      <c r="AC33" s="4" t="n">
        <v>18.98571428571429</v>
      </c>
      <c r="AD33" s="4" t="n">
        <v>19.02272727272728</v>
      </c>
      <c r="AE33" s="4" t="n">
        <v>19.06363636363637</v>
      </c>
      <c r="AF33" s="4" t="n">
        <v>18.93181818181818</v>
      </c>
      <c r="AG33" s="4" t="n">
        <v>19.15</v>
      </c>
      <c r="AH33" s="4" t="n">
        <v>19.44090909090909</v>
      </c>
      <c r="AI33" s="4" t="n">
        <v>19.70909090909091</v>
      </c>
      <c r="AJ33" s="4" t="n">
        <v>19.34545454545454</v>
      </c>
      <c r="AK33" s="4" t="n">
        <v>18.86363636363636</v>
      </c>
      <c r="AL33" s="4" t="n">
        <v>18.61818181818181</v>
      </c>
      <c r="AM33" s="4" t="n">
        <v>18.67727272727273</v>
      </c>
    </row>
    <row r="34">
      <c r="A34" s="4" t="n">
        <v>26025090</v>
      </c>
      <c r="B34" s="4" t="inlineStr">
        <is>
          <t>Venta De Cajibio</t>
        </is>
      </c>
      <c r="C34" s="4" t="n">
        <v>1850</v>
      </c>
      <c r="D34" s="4" t="n">
        <v>24.36315789473684</v>
      </c>
      <c r="E34" s="4" t="n">
        <v>24.25555555555556</v>
      </c>
      <c r="F34" s="4" t="n">
        <v>24.42105263157895</v>
      </c>
      <c r="G34" s="4" t="n">
        <v>24.25</v>
      </c>
      <c r="H34" s="4" t="n">
        <v>24.54285714285715</v>
      </c>
      <c r="I34" s="4" t="n">
        <v>24.82380952380952</v>
      </c>
      <c r="J34" s="4" t="n">
        <v>25.18095238095238</v>
      </c>
      <c r="K34" s="4" t="n">
        <v>25.38235294117647</v>
      </c>
      <c r="L34" s="4" t="n">
        <v>25.13499999999999</v>
      </c>
      <c r="M34" s="4" t="n">
        <v>24.15</v>
      </c>
      <c r="N34" s="4" t="n">
        <v>23.71176470588236</v>
      </c>
      <c r="O34" s="4" t="n">
        <v>23.81052631578947</v>
      </c>
      <c r="P34" s="4" t="n">
        <v>13.6</v>
      </c>
      <c r="Q34" s="4" t="n">
        <v>13.73666666666667</v>
      </c>
      <c r="R34" s="4" t="n">
        <v>13.93448275862069</v>
      </c>
      <c r="S34" s="4" t="n">
        <v>14.14</v>
      </c>
      <c r="T34" s="4" t="n">
        <v>14.13333333333333</v>
      </c>
      <c r="U34" s="4" t="n">
        <v>13.82</v>
      </c>
      <c r="V34" s="4" t="n">
        <v>13.51</v>
      </c>
      <c r="W34" s="4" t="n">
        <v>13.54333333333333</v>
      </c>
      <c r="X34" s="4" t="n">
        <v>13.42666666666667</v>
      </c>
      <c r="Y34" s="4" t="n">
        <v>13.50666666666667</v>
      </c>
      <c r="Z34" s="4" t="n">
        <v>13.70333333333333</v>
      </c>
      <c r="AA34" s="4" t="n">
        <v>13.65666666666666</v>
      </c>
      <c r="AB34" s="4" t="n">
        <v>18.34</v>
      </c>
      <c r="AC34" s="4" t="n">
        <v>18.45</v>
      </c>
      <c r="AD34" s="4" t="n">
        <v>18.47666666666667</v>
      </c>
      <c r="AE34" s="4" t="n">
        <v>18.47</v>
      </c>
      <c r="AF34" s="4" t="n">
        <v>18.53666666666667</v>
      </c>
      <c r="AG34" s="4" t="n">
        <v>18.73666666666667</v>
      </c>
      <c r="AH34" s="4" t="n">
        <v>18.87333333333333</v>
      </c>
      <c r="AI34" s="4" t="n">
        <v>19.14</v>
      </c>
      <c r="AJ34" s="4" t="n">
        <v>18.63</v>
      </c>
      <c r="AK34" s="4" t="n">
        <v>18.13333333333334</v>
      </c>
      <c r="AL34" s="4" t="n">
        <v>18.06333333333334</v>
      </c>
      <c r="AM34" s="4" t="n">
        <v>18.08333333333334</v>
      </c>
    </row>
    <row r="35">
      <c r="A35" s="4" t="n">
        <v>26215010</v>
      </c>
      <c r="B35" s="4" t="inlineStr">
        <is>
          <t>Concordia</t>
        </is>
      </c>
      <c r="C35" s="4" t="n">
        <v>1904</v>
      </c>
      <c r="D35" s="4" t="n">
        <v>23.43461538461539</v>
      </c>
      <c r="E35" s="4" t="n">
        <v>23.88846153846155</v>
      </c>
      <c r="F35" s="4" t="n">
        <v>23.64230769230769</v>
      </c>
      <c r="G35" s="4" t="n">
        <v>23.17037037037037</v>
      </c>
      <c r="H35" s="4" t="n">
        <v>23.04814814814814</v>
      </c>
      <c r="I35" s="4" t="n">
        <v>23.4074074074074</v>
      </c>
      <c r="J35" s="4" t="n">
        <v>23.66538461538461</v>
      </c>
      <c r="K35" s="4" t="n">
        <v>23.864</v>
      </c>
      <c r="L35" s="4" t="n">
        <v>23.24074074074074</v>
      </c>
      <c r="M35" s="4" t="n">
        <v>22.5</v>
      </c>
      <c r="N35" s="4" t="n">
        <v>22.352</v>
      </c>
      <c r="O35" s="4" t="n">
        <v>22.69230769230769</v>
      </c>
      <c r="P35" s="4" t="n">
        <v>14.28518518518518</v>
      </c>
      <c r="Q35" s="4" t="n">
        <v>14.35185185185185</v>
      </c>
      <c r="R35" s="4" t="n">
        <v>14.42222222222222</v>
      </c>
      <c r="S35" s="4" t="n">
        <v>14.4074074074074</v>
      </c>
      <c r="T35" s="4" t="n">
        <v>14.49259259259259</v>
      </c>
      <c r="U35" s="4" t="n">
        <v>14.5</v>
      </c>
      <c r="V35" s="4" t="n">
        <v>14.38846153846154</v>
      </c>
      <c r="W35" s="4" t="n">
        <v>14.3</v>
      </c>
      <c r="X35" s="4" t="n">
        <v>13.95555555555555</v>
      </c>
      <c r="Y35" s="4" t="n">
        <v>14.03461538461538</v>
      </c>
      <c r="Z35" s="4" t="n">
        <v>13.97307692307692</v>
      </c>
      <c r="AA35" s="4" t="n">
        <v>14.19230769230769</v>
      </c>
      <c r="AB35" s="4" t="n">
        <v>18.5448275862069</v>
      </c>
      <c r="AC35" s="4" t="n">
        <v>18.80689655172414</v>
      </c>
      <c r="AD35" s="4" t="n">
        <v>18.81379310344828</v>
      </c>
      <c r="AE35" s="4" t="n">
        <v>18.55862068965518</v>
      </c>
      <c r="AF35" s="4" t="n">
        <v>18.55172413793104</v>
      </c>
      <c r="AG35" s="4" t="n">
        <v>18.75862068965517</v>
      </c>
      <c r="AH35" s="4" t="n">
        <v>18.94285714285714</v>
      </c>
      <c r="AI35" s="4" t="n">
        <v>18.825</v>
      </c>
      <c r="AJ35" s="4" t="n">
        <v>18.41034482758621</v>
      </c>
      <c r="AK35" s="4" t="n">
        <v>17.94482758620689</v>
      </c>
      <c r="AL35" s="4" t="n">
        <v>17.81428571428571</v>
      </c>
      <c r="AM35" s="4" t="n">
        <v>18.11428571428572</v>
      </c>
    </row>
    <row r="36">
      <c r="A36" s="4" t="n">
        <v>26145020</v>
      </c>
      <c r="B36" s="4" t="inlineStr">
        <is>
          <t>Bellavista</t>
        </is>
      </c>
      <c r="C36" s="4" t="n">
        <v>1932</v>
      </c>
      <c r="D36" s="4" t="n">
        <v>21.76</v>
      </c>
      <c r="E36" s="4" t="n">
        <v>21.8952380952381</v>
      </c>
      <c r="F36" s="4" t="n">
        <v>21.67142857142857</v>
      </c>
      <c r="G36" s="4" t="n">
        <v>21.55</v>
      </c>
      <c r="H36" s="4" t="n">
        <v>21.51304347826087</v>
      </c>
      <c r="I36" s="4" t="n">
        <v>21.41818181818182</v>
      </c>
      <c r="J36" s="4" t="n">
        <v>21.86190476190476</v>
      </c>
      <c r="K36" s="4" t="n">
        <v>21.99130434782608</v>
      </c>
      <c r="L36" s="4" t="n">
        <v>21.47272727272727</v>
      </c>
      <c r="M36" s="4" t="n">
        <v>21.15714285714286</v>
      </c>
      <c r="N36" s="4" t="n">
        <v>20.86818181818182</v>
      </c>
      <c r="O36" s="4" t="n">
        <v>21.02727272727273</v>
      </c>
      <c r="P36" s="4" t="n">
        <v>13.32380952380952</v>
      </c>
      <c r="Q36" s="4" t="n">
        <v>13.47727272727272</v>
      </c>
      <c r="R36" s="4" t="n">
        <v>13.69523809523809</v>
      </c>
      <c r="S36" s="4" t="n">
        <v>13.83043478260869</v>
      </c>
      <c r="T36" s="4" t="n">
        <v>13.84166666666666</v>
      </c>
      <c r="U36" s="4" t="n">
        <v>13.45833333333333</v>
      </c>
      <c r="V36" s="4" t="n">
        <v>13.13913043478261</v>
      </c>
      <c r="W36" s="4" t="n">
        <v>13.08333333333333</v>
      </c>
      <c r="X36" s="4" t="n">
        <v>13.06086956521739</v>
      </c>
      <c r="Y36" s="4" t="n">
        <v>13.3952380952381</v>
      </c>
      <c r="Z36" s="4" t="n">
        <v>13.42727272727273</v>
      </c>
      <c r="AA36" s="4" t="n">
        <v>13.56190476190476</v>
      </c>
      <c r="AB36" s="4" t="n">
        <v>16.925</v>
      </c>
      <c r="AC36" s="4" t="n">
        <v>17.07857142857143</v>
      </c>
      <c r="AD36" s="4" t="n">
        <v>17.03703703703704</v>
      </c>
      <c r="AE36" s="4" t="n">
        <v>17.10357142857142</v>
      </c>
      <c r="AF36" s="4" t="n">
        <v>17.16428571428571</v>
      </c>
      <c r="AG36" s="4" t="n">
        <v>17.27857142857143</v>
      </c>
      <c r="AH36" s="4" t="n">
        <v>17.25357142857143</v>
      </c>
      <c r="AI36" s="4" t="n">
        <v>17.28214285714286</v>
      </c>
      <c r="AJ36" s="4" t="n">
        <v>16.93571428571429</v>
      </c>
      <c r="AK36" s="4" t="n">
        <v>16.71851851851852</v>
      </c>
      <c r="AL36" s="4" t="n">
        <v>16.58888888888889</v>
      </c>
      <c r="AM36" s="4" t="n">
        <v>16.67777777777778</v>
      </c>
    </row>
    <row r="37">
      <c r="A37" s="4" t="n">
        <v>26135160</v>
      </c>
      <c r="B37" s="4" t="inlineStr">
        <is>
          <t>San Remo</t>
        </is>
      </c>
      <c r="C37" s="4" t="n">
        <v>2000</v>
      </c>
      <c r="D37" s="4" t="n">
        <v>21.77272727272727</v>
      </c>
      <c r="E37" s="4" t="n">
        <v>22.03636363636364</v>
      </c>
      <c r="F37" s="4" t="n">
        <v>21.92727272727273</v>
      </c>
      <c r="G37" s="4" t="n">
        <v>21.64545454545455</v>
      </c>
      <c r="H37" s="4" t="n">
        <v>21.52727272727273</v>
      </c>
      <c r="I37" s="4" t="n">
        <v>21.55833333333333</v>
      </c>
      <c r="J37" s="4" t="n">
        <v>21.90833333333333</v>
      </c>
      <c r="K37" s="4" t="n">
        <v>22.25833333333334</v>
      </c>
      <c r="L37" s="4" t="n">
        <v>21.46666666666667</v>
      </c>
      <c r="M37" s="4" t="n">
        <v>21.15</v>
      </c>
      <c r="N37" s="4" t="n">
        <v>20.89166666666667</v>
      </c>
      <c r="O37" s="4" t="n">
        <v>21.25</v>
      </c>
      <c r="P37" s="4" t="n">
        <v>13.25333333333333</v>
      </c>
      <c r="Q37" s="4" t="n">
        <v>13.53333333333333</v>
      </c>
      <c r="R37" s="4" t="n">
        <v>13.72666666666667</v>
      </c>
      <c r="S37" s="4" t="n">
        <v>14.00666666666667</v>
      </c>
      <c r="T37" s="4" t="n">
        <v>14.09333333333333</v>
      </c>
      <c r="U37" s="4" t="n">
        <v>13.99375</v>
      </c>
      <c r="V37" s="4" t="n">
        <v>13.85</v>
      </c>
      <c r="W37" s="4" t="n">
        <v>13.77333333333334</v>
      </c>
      <c r="X37" s="4" t="n">
        <v>13.65</v>
      </c>
      <c r="Y37" s="4" t="n">
        <v>13.55</v>
      </c>
      <c r="Z37" s="4" t="n">
        <v>13.56666666666667</v>
      </c>
      <c r="AA37" s="4" t="n">
        <v>13.35333333333333</v>
      </c>
      <c r="AB37" s="4" t="n">
        <v>16.97619047619048</v>
      </c>
      <c r="AC37" s="4" t="n">
        <v>17.23809523809524</v>
      </c>
      <c r="AD37" s="4" t="n">
        <v>17.17142857142857</v>
      </c>
      <c r="AE37" s="4" t="n">
        <v>17.20952380952381</v>
      </c>
      <c r="AF37" s="4" t="n">
        <v>17.25238095238096</v>
      </c>
      <c r="AG37" s="4" t="n">
        <v>17.1904761904762</v>
      </c>
      <c r="AH37" s="4" t="n">
        <v>17.30952380952381</v>
      </c>
      <c r="AI37" s="4" t="n">
        <v>17.40952380952381</v>
      </c>
      <c r="AJ37" s="4" t="n">
        <v>16.95714285714286</v>
      </c>
      <c r="AK37" s="4" t="n">
        <v>16.75238095238095</v>
      </c>
      <c r="AL37" s="4" t="n">
        <v>16.75714285714286</v>
      </c>
      <c r="AM37" s="4" t="n">
        <v>16.85238095238096</v>
      </c>
    </row>
    <row r="38">
      <c r="A38" s="4" t="n">
        <v>26195030</v>
      </c>
      <c r="B38" s="4" t="inlineStr">
        <is>
          <t>Jardin El</t>
        </is>
      </c>
      <c r="C38" s="4" t="n">
        <v>2005</v>
      </c>
      <c r="D38" s="4" t="n">
        <v>22.18421052631579</v>
      </c>
      <c r="E38" s="4" t="n">
        <v>22.6</v>
      </c>
      <c r="F38" s="4" t="n">
        <v>22.42105263157895</v>
      </c>
      <c r="G38" s="4" t="n">
        <v>22.1421052631579</v>
      </c>
      <c r="H38" s="4" t="n">
        <v>21.82105263157895</v>
      </c>
      <c r="I38" s="4" t="n">
        <v>21.76315789473684</v>
      </c>
      <c r="J38" s="4" t="n">
        <v>21.93684210526316</v>
      </c>
      <c r="K38" s="4" t="n">
        <v>21.92631578947369</v>
      </c>
      <c r="L38" s="4" t="n">
        <v>21.65263157894737</v>
      </c>
      <c r="M38" s="4" t="n">
        <v>21.44736842105263</v>
      </c>
      <c r="N38" s="4" t="n">
        <v>21.26315789473684</v>
      </c>
      <c r="O38" s="4" t="n">
        <v>21.71052631578947</v>
      </c>
      <c r="P38" s="4" t="n">
        <v>13.21578947368421</v>
      </c>
      <c r="Q38" s="4" t="n">
        <v>13.48947368421053</v>
      </c>
      <c r="R38" s="4" t="n">
        <v>13.6578947368421</v>
      </c>
      <c r="S38" s="4" t="n">
        <v>13.86842105263158</v>
      </c>
      <c r="T38" s="4" t="n">
        <v>13.86315789473684</v>
      </c>
      <c r="U38" s="4" t="n">
        <v>13.54210526315789</v>
      </c>
      <c r="V38" s="4" t="n">
        <v>13.10526315789474</v>
      </c>
      <c r="W38" s="4" t="n">
        <v>13.12105263157895</v>
      </c>
      <c r="X38" s="4" t="n">
        <v>13.18947368421053</v>
      </c>
      <c r="Y38" s="4" t="n">
        <v>13.16842105263158</v>
      </c>
      <c r="Z38" s="4" t="n">
        <v>13.34736842105263</v>
      </c>
      <c r="AA38" s="4" t="n">
        <v>13.34210526315789</v>
      </c>
      <c r="AB38" s="4" t="n">
        <v>17.06842105263158</v>
      </c>
      <c r="AC38" s="4" t="n">
        <v>17.4</v>
      </c>
      <c r="AD38" s="4" t="n">
        <v>17.3421052631579</v>
      </c>
      <c r="AE38" s="4" t="n">
        <v>17.3</v>
      </c>
      <c r="AF38" s="4" t="n">
        <v>17.21578947368421</v>
      </c>
      <c r="AG38" s="4" t="n">
        <v>17.11578947368421</v>
      </c>
      <c r="AH38" s="4" t="n">
        <v>17.00526315789473</v>
      </c>
      <c r="AI38" s="4" t="n">
        <v>17.01052631578947</v>
      </c>
      <c r="AJ38" s="4" t="n">
        <v>16.84736842105263</v>
      </c>
      <c r="AK38" s="4" t="n">
        <v>16.73157894736842</v>
      </c>
      <c r="AL38" s="4" t="n">
        <v>16.71578947368421</v>
      </c>
      <c r="AM38" s="4" t="n">
        <v>16.91052631578948</v>
      </c>
    </row>
    <row r="39">
      <c r="A39" s="4" t="n">
        <v>26155110</v>
      </c>
      <c r="B39" s="4" t="inlineStr">
        <is>
          <t>Apto La Nubia</t>
        </is>
      </c>
      <c r="C39" s="4" t="n">
        <v>2058</v>
      </c>
      <c r="D39" s="4" t="n">
        <v>21.51578947368421</v>
      </c>
      <c r="E39" s="4" t="n">
        <v>21.96</v>
      </c>
      <c r="F39" s="4" t="n">
        <v>21.75714285714286</v>
      </c>
      <c r="G39" s="4" t="n">
        <v>21.36666666666667</v>
      </c>
      <c r="H39" s="4" t="n">
        <v>21.26666666666667</v>
      </c>
      <c r="I39" s="4" t="n">
        <v>21.25238095238095</v>
      </c>
      <c r="J39" s="4" t="n">
        <v>21.54761904761905</v>
      </c>
      <c r="K39" s="4" t="n">
        <v>21.74761904761905</v>
      </c>
      <c r="L39" s="4" t="n">
        <v>21.245</v>
      </c>
      <c r="M39" s="4" t="n">
        <v>20.6047619047619</v>
      </c>
      <c r="N39" s="4" t="n">
        <v>20.63</v>
      </c>
      <c r="O39" s="4" t="n">
        <v>21.08571428571429</v>
      </c>
      <c r="P39" s="4" t="n">
        <v>11.82608695652174</v>
      </c>
      <c r="Q39" s="4" t="n">
        <v>12.12083333333334</v>
      </c>
      <c r="R39" s="4" t="n">
        <v>12.46666666666667</v>
      </c>
      <c r="S39" s="4" t="n">
        <v>12.775</v>
      </c>
      <c r="T39" s="4" t="n">
        <v>12.84583333333333</v>
      </c>
      <c r="U39" s="4" t="n">
        <v>12.8</v>
      </c>
      <c r="V39" s="4" t="n">
        <v>12.50833333333333</v>
      </c>
      <c r="W39" s="4" t="n">
        <v>12.63478260869565</v>
      </c>
      <c r="X39" s="4" t="n">
        <v>12.51666666666667</v>
      </c>
      <c r="Y39" s="4" t="n">
        <v>12.3625</v>
      </c>
      <c r="Z39" s="4" t="n">
        <v>12.33333333333333</v>
      </c>
      <c r="AA39" s="4" t="n">
        <v>12.20416666666667</v>
      </c>
      <c r="AB39" s="4" t="n">
        <v>16.93636363636363</v>
      </c>
      <c r="AC39" s="4" t="n">
        <v>17.23478260869565</v>
      </c>
      <c r="AD39" s="4" t="n">
        <v>17.20833333333334</v>
      </c>
      <c r="AE39" s="4" t="n">
        <v>17.15416666666667</v>
      </c>
      <c r="AF39" s="4" t="n">
        <v>17.15</v>
      </c>
      <c r="AG39" s="4" t="n">
        <v>17.11666666666666</v>
      </c>
      <c r="AH39" s="4" t="n">
        <v>17.20833333333334</v>
      </c>
      <c r="AI39" s="4" t="n">
        <v>17.24166666666667</v>
      </c>
      <c r="AJ39" s="4" t="n">
        <v>16.91739130434783</v>
      </c>
      <c r="AK39" s="4" t="n">
        <v>16.64090909090909</v>
      </c>
      <c r="AL39" s="4" t="n">
        <v>16.62727272727273</v>
      </c>
      <c r="AM39" s="4" t="n">
        <v>16.82727272727273</v>
      </c>
    </row>
    <row r="40">
      <c r="A40" s="4" t="n">
        <v>11025010</v>
      </c>
      <c r="B40" s="4" t="inlineStr">
        <is>
          <t>Mansa La</t>
        </is>
      </c>
      <c r="C40" s="4" t="n">
        <v>2100</v>
      </c>
      <c r="D40" s="4" t="n">
        <v>21.125</v>
      </c>
      <c r="E40" s="4" t="n">
        <v>21.42142857142857</v>
      </c>
      <c r="F40" s="4" t="n">
        <v>21.35</v>
      </c>
      <c r="G40" s="4" t="n">
        <v>21.18214285714285</v>
      </c>
      <c r="H40" s="4" t="n">
        <v>21.09285714285715</v>
      </c>
      <c r="I40" s="4" t="n">
        <v>21.1962962962963</v>
      </c>
      <c r="J40" s="4" t="n">
        <v>21.32592592592593</v>
      </c>
      <c r="K40" s="4" t="n">
        <v>21.43333333333333</v>
      </c>
      <c r="L40" s="4" t="n">
        <v>20.92592592592592</v>
      </c>
      <c r="M40" s="4" t="n">
        <v>20.4642857142857</v>
      </c>
      <c r="N40" s="4" t="n">
        <v>20.39285714285714</v>
      </c>
      <c r="O40" s="4" t="n">
        <v>20.56785714285715</v>
      </c>
      <c r="P40" s="4" t="n">
        <v>12.88965517241379</v>
      </c>
      <c r="Q40" s="4" t="n">
        <v>13.11379310344828</v>
      </c>
      <c r="R40" s="4" t="n">
        <v>13.30689655172414</v>
      </c>
      <c r="S40" s="4" t="n">
        <v>13.46896551724138</v>
      </c>
      <c r="T40" s="4" t="n">
        <v>13.40344827586207</v>
      </c>
      <c r="U40" s="4" t="n">
        <v>13.01379310344827</v>
      </c>
      <c r="V40" s="4" t="n">
        <v>12.48965517241379</v>
      </c>
      <c r="W40" s="4" t="n">
        <v>12.59285714285715</v>
      </c>
      <c r="X40" s="4" t="n">
        <v>12.78965517241379</v>
      </c>
      <c r="Y40" s="4" t="n">
        <v>12.82758620689655</v>
      </c>
      <c r="Z40" s="4" t="n">
        <v>13.01034482758621</v>
      </c>
      <c r="AA40" s="4" t="n">
        <v>13.02413793103448</v>
      </c>
      <c r="AB40" s="4" t="n">
        <v>16.72758620689655</v>
      </c>
      <c r="AC40" s="4" t="n">
        <v>16.85666666666667</v>
      </c>
      <c r="AD40" s="4" t="n">
        <v>16.96666666666667</v>
      </c>
      <c r="AE40" s="4" t="n">
        <v>17.04</v>
      </c>
      <c r="AF40" s="4" t="n">
        <v>17.06666666666667</v>
      </c>
      <c r="AG40" s="4" t="n">
        <v>16.97931034482759</v>
      </c>
      <c r="AH40" s="4" t="n">
        <v>16.82413793103448</v>
      </c>
      <c r="AI40" s="4" t="n">
        <v>16.78275862068966</v>
      </c>
      <c r="AJ40" s="4" t="n">
        <v>16.55666666666666</v>
      </c>
      <c r="AK40" s="4" t="n">
        <v>16.37333333333333</v>
      </c>
      <c r="AL40" s="4" t="n">
        <v>16.43333333333333</v>
      </c>
      <c r="AM40" s="4" t="n">
        <v>16.56</v>
      </c>
    </row>
    <row r="41">
      <c r="A41" s="4" t="n">
        <v>26135070</v>
      </c>
      <c r="B41" s="4" t="inlineStr">
        <is>
          <t>Cedral El</t>
        </is>
      </c>
      <c r="C41" s="4" t="n">
        <v>2120</v>
      </c>
      <c r="D41" s="4" t="n">
        <v>19.6</v>
      </c>
      <c r="E41" s="4" t="n">
        <v>19.62727272727273</v>
      </c>
      <c r="F41" s="4" t="n">
        <v>19.71818181818182</v>
      </c>
      <c r="G41" s="4" t="n">
        <v>19.55454545454545</v>
      </c>
      <c r="H41" s="4" t="n">
        <v>19.41818181818182</v>
      </c>
      <c r="I41" s="4" t="n">
        <v>19.92727272727273</v>
      </c>
      <c r="J41" s="4" t="n">
        <v>19.86363636363637</v>
      </c>
      <c r="K41" s="4" t="n">
        <v>19.98181818181818</v>
      </c>
      <c r="L41" s="4" t="n">
        <v>19.67272727272727</v>
      </c>
      <c r="M41" s="4" t="n">
        <v>18.79090909090909</v>
      </c>
      <c r="N41" s="4" t="n">
        <v>19.0090909090909</v>
      </c>
      <c r="O41" s="4" t="n">
        <v>19.36363636363636</v>
      </c>
      <c r="P41" s="4" t="n">
        <v>11.18181818181818</v>
      </c>
      <c r="Q41" s="4" t="n">
        <v>11.2</v>
      </c>
      <c r="R41" s="4" t="n">
        <v>11.3</v>
      </c>
      <c r="S41" s="4" t="n">
        <v>11.74545454545454</v>
      </c>
      <c r="T41" s="4" t="n">
        <v>11.93636363636364</v>
      </c>
      <c r="U41" s="4" t="n">
        <v>11.71818181818182</v>
      </c>
      <c r="V41" s="4" t="n">
        <v>11.45454545454546</v>
      </c>
      <c r="W41" s="4" t="n">
        <v>11.51818181818182</v>
      </c>
      <c r="X41" s="4" t="n">
        <v>11.46363636363636</v>
      </c>
      <c r="Y41" s="4" t="n">
        <v>11.38181818181818</v>
      </c>
      <c r="Z41" s="4" t="n">
        <v>11.41818181818182</v>
      </c>
      <c r="AA41" s="4" t="n">
        <v>11.3</v>
      </c>
      <c r="AB41" s="4" t="n">
        <v>15.27272727272727</v>
      </c>
      <c r="AC41" s="4" t="n">
        <v>15.14545454545454</v>
      </c>
      <c r="AD41" s="4" t="n">
        <v>15.32727272727273</v>
      </c>
      <c r="AE41" s="4" t="n">
        <v>15.30909090909091</v>
      </c>
      <c r="AF41" s="4" t="n">
        <v>15.36363636363636</v>
      </c>
      <c r="AG41" s="4" t="n">
        <v>15.43636363636364</v>
      </c>
      <c r="AH41" s="4" t="n">
        <v>15.34545454545454</v>
      </c>
      <c r="AI41" s="4" t="n">
        <v>15.49090909090909</v>
      </c>
      <c r="AJ41" s="4" t="n">
        <v>15.12727272727273</v>
      </c>
      <c r="AK41" s="4" t="n">
        <v>14.56363636363636</v>
      </c>
      <c r="AL41" s="4" t="n">
        <v>14.76363636363636</v>
      </c>
      <c r="AM41" s="4" t="n">
        <v>15.02727272727273</v>
      </c>
    </row>
    <row r="42">
      <c r="A42" s="4" t="n">
        <v>26185010</v>
      </c>
      <c r="B42" s="4" t="inlineStr">
        <is>
          <t>Pelada La</t>
        </is>
      </c>
      <c r="C42" s="4" t="n">
        <v>2180</v>
      </c>
      <c r="D42" s="4" t="n">
        <v>21.43333333333333</v>
      </c>
      <c r="E42" s="4" t="n">
        <v>21.825</v>
      </c>
      <c r="F42" s="4" t="n">
        <v>21.87692307692308</v>
      </c>
      <c r="G42" s="4" t="n">
        <v>21.65384615384615</v>
      </c>
      <c r="H42" s="4" t="n">
        <v>21.51538461538462</v>
      </c>
      <c r="I42" s="4" t="n">
        <v>21.74615384615385</v>
      </c>
      <c r="J42" s="4" t="n">
        <v>22.07692307692308</v>
      </c>
      <c r="K42" s="4" t="n">
        <v>21.925</v>
      </c>
      <c r="L42" s="4" t="n">
        <v>21.45833333333333</v>
      </c>
      <c r="M42" s="4" t="n">
        <v>20.675</v>
      </c>
      <c r="N42" s="4" t="n">
        <v>20.4</v>
      </c>
      <c r="O42" s="4" t="n">
        <v>20.68333333333333</v>
      </c>
      <c r="P42" s="4" t="n">
        <v>12.01666666666667</v>
      </c>
      <c r="Q42" s="4" t="n">
        <v>12.13076923076923</v>
      </c>
      <c r="R42" s="4" t="n">
        <v>12.28461538461538</v>
      </c>
      <c r="S42" s="4" t="n">
        <v>12.19230769230769</v>
      </c>
      <c r="T42" s="4" t="n">
        <v>12.53076923076923</v>
      </c>
      <c r="U42" s="4" t="n">
        <v>12.50833333333333</v>
      </c>
      <c r="V42" s="4" t="n">
        <v>12.20833333333333</v>
      </c>
      <c r="W42" s="4" t="n">
        <v>12.11538461538461</v>
      </c>
      <c r="X42" s="4" t="n">
        <v>12.32307692307692</v>
      </c>
      <c r="Y42" s="4" t="n">
        <v>12.28461538461539</v>
      </c>
      <c r="Z42" s="4" t="n">
        <v>12.35384615384615</v>
      </c>
      <c r="AA42" s="4" t="n">
        <v>12.2</v>
      </c>
      <c r="AB42" s="4" t="n">
        <v>16.72307692307692</v>
      </c>
      <c r="AC42" s="4" t="n">
        <v>16.96923076923077</v>
      </c>
      <c r="AD42" s="4" t="n">
        <v>16.83076923076923</v>
      </c>
      <c r="AE42" s="4" t="n">
        <v>16.79230769230769</v>
      </c>
      <c r="AF42" s="4" t="n">
        <v>16.83076923076923</v>
      </c>
      <c r="AG42" s="4" t="n">
        <v>16.78461538461539</v>
      </c>
      <c r="AH42" s="4" t="n">
        <v>17.14615384615385</v>
      </c>
      <c r="AI42" s="4" t="n">
        <v>17.07692307692308</v>
      </c>
      <c r="AJ42" s="4" t="n">
        <v>16.66923076923077</v>
      </c>
      <c r="AK42" s="4" t="n">
        <v>16.30769230769231</v>
      </c>
      <c r="AL42" s="4" t="n">
        <v>16.08461538461538</v>
      </c>
      <c r="AM42" s="4" t="n">
        <v>16.34615384615385</v>
      </c>
    </row>
    <row r="43">
      <c r="A43" s="4" t="n">
        <v>26185020</v>
      </c>
      <c r="B43" s="4" t="inlineStr">
        <is>
          <t>Mesopotamia</t>
        </is>
      </c>
      <c r="C43" s="4" t="n">
        <v>2314</v>
      </c>
      <c r="D43" s="4" t="n">
        <v>20.04800000000001</v>
      </c>
      <c r="E43" s="4" t="n">
        <v>20.32692307692308</v>
      </c>
      <c r="F43" s="4" t="n">
        <v>20.48076923076923</v>
      </c>
      <c r="G43" s="4" t="n">
        <v>20.632</v>
      </c>
      <c r="H43" s="4" t="n">
        <v>20.84583333333333</v>
      </c>
      <c r="I43" s="4" t="n">
        <v>20.49230769230769</v>
      </c>
      <c r="J43" s="4" t="n">
        <v>20.352</v>
      </c>
      <c r="K43" s="4" t="n">
        <v>20.57692307692308</v>
      </c>
      <c r="L43" s="4" t="n">
        <v>20.47692307692307</v>
      </c>
      <c r="M43" s="4" t="n">
        <v>20.3</v>
      </c>
      <c r="N43" s="4" t="n">
        <v>20.21923076923077</v>
      </c>
      <c r="O43" s="4" t="n">
        <v>20.11923076923077</v>
      </c>
      <c r="P43" s="4" t="n">
        <v>9.904545454545454</v>
      </c>
      <c r="Q43" s="4" t="n">
        <v>10.23636363636363</v>
      </c>
      <c r="R43" s="4" t="n">
        <v>10.42727272727273</v>
      </c>
      <c r="S43" s="4" t="n">
        <v>10.62173913043478</v>
      </c>
      <c r="T43" s="4" t="n">
        <v>10.59130434782609</v>
      </c>
      <c r="U43" s="4" t="n">
        <v>9.943478260869565</v>
      </c>
      <c r="V43" s="4" t="n">
        <v>9.573913043478262</v>
      </c>
      <c r="W43" s="4" t="n">
        <v>9.663636363636364</v>
      </c>
      <c r="X43" s="4" t="n">
        <v>10.13181818181818</v>
      </c>
      <c r="Y43" s="4" t="n">
        <v>10.17272727272727</v>
      </c>
      <c r="Z43" s="4" t="n">
        <v>10.22272727272727</v>
      </c>
      <c r="AA43" s="4" t="n">
        <v>10.13181818181818</v>
      </c>
      <c r="AB43" s="4" t="n">
        <v>14.54444444444445</v>
      </c>
      <c r="AC43" s="4" t="n">
        <v>14.78148148148148</v>
      </c>
      <c r="AD43" s="4" t="n">
        <v>14.92592592592593</v>
      </c>
      <c r="AE43" s="4" t="n">
        <v>15.2</v>
      </c>
      <c r="AF43" s="4" t="n">
        <v>15.28461538461538</v>
      </c>
      <c r="AG43" s="4" t="n">
        <v>15.2</v>
      </c>
      <c r="AH43" s="4" t="n">
        <v>14.93076923076923</v>
      </c>
      <c r="AI43" s="4" t="n">
        <v>15.02</v>
      </c>
      <c r="AJ43" s="4" t="n">
        <v>14.89230769230769</v>
      </c>
      <c r="AK43" s="4" t="n">
        <v>14.67037037037037</v>
      </c>
      <c r="AL43" s="4" t="n">
        <v>14.60384615384615</v>
      </c>
      <c r="AM43" s="4" t="n">
        <v>14.61153846153846</v>
      </c>
    </row>
    <row r="44">
      <c r="A44" s="4" t="n">
        <v>26095080</v>
      </c>
      <c r="B44" s="4" t="inlineStr">
        <is>
          <t>Tenerife</t>
        </is>
      </c>
      <c r="C44" s="4" t="n">
        <v>2609</v>
      </c>
      <c r="D44" s="4" t="n">
        <v>17.64285714285714</v>
      </c>
      <c r="E44" s="4" t="n">
        <v>17.83571428571429</v>
      </c>
      <c r="F44" s="4" t="n">
        <v>17.84285714285714</v>
      </c>
      <c r="G44" s="4" t="n">
        <v>17.7037037037037</v>
      </c>
      <c r="H44" s="4" t="n">
        <v>17.72222222222222</v>
      </c>
      <c r="I44" s="4" t="n">
        <v>17.81851851851851</v>
      </c>
      <c r="J44" s="4" t="n">
        <v>18.05384615384615</v>
      </c>
      <c r="K44" s="4" t="n">
        <v>18.27777777777777</v>
      </c>
      <c r="L44" s="4" t="n">
        <v>18.17307692307692</v>
      </c>
      <c r="M44" s="4" t="n">
        <v>17.67037037037037</v>
      </c>
      <c r="N44" s="4" t="n">
        <v>16.94814814814815</v>
      </c>
      <c r="O44" s="4" t="n">
        <v>16.75714285714286</v>
      </c>
      <c r="P44" s="4" t="n">
        <v>9.726923076923077</v>
      </c>
      <c r="Q44" s="4" t="n">
        <v>9.776923076923079</v>
      </c>
      <c r="R44" s="4" t="n">
        <v>10.01153846153846</v>
      </c>
      <c r="S44" s="4" t="n">
        <v>10.352</v>
      </c>
      <c r="T44" s="4" t="n">
        <v>10.48846153846154</v>
      </c>
      <c r="U44" s="4" t="n">
        <v>10.288</v>
      </c>
      <c r="V44" s="4" t="n">
        <v>10.07307692307692</v>
      </c>
      <c r="W44" s="4" t="n">
        <v>9.976923076923075</v>
      </c>
      <c r="X44" s="4" t="n">
        <v>9.961538461538462</v>
      </c>
      <c r="Y44" s="4" t="n">
        <v>9.86923076923077</v>
      </c>
      <c r="Z44" s="4" t="n">
        <v>9.86923076923077</v>
      </c>
      <c r="AA44" s="4" t="n">
        <v>9.715384615384618</v>
      </c>
      <c r="AB44" s="4" t="n">
        <v>13.36428571428571</v>
      </c>
      <c r="AC44" s="4" t="n">
        <v>13.51</v>
      </c>
      <c r="AD44" s="4" t="n">
        <v>13.65333333333333</v>
      </c>
      <c r="AE44" s="4" t="n">
        <v>13.79666666666666</v>
      </c>
      <c r="AF44" s="4" t="n">
        <v>13.9</v>
      </c>
      <c r="AG44" s="4" t="n">
        <v>13.9</v>
      </c>
      <c r="AH44" s="4" t="n">
        <v>13.7896551724138</v>
      </c>
      <c r="AI44" s="4" t="n">
        <v>13.94642857142857</v>
      </c>
      <c r="AJ44" s="4" t="n">
        <v>13.73793103448276</v>
      </c>
      <c r="AK44" s="4" t="n">
        <v>13.4551724137931</v>
      </c>
      <c r="AL44" s="4" t="n">
        <v>13.26</v>
      </c>
      <c r="AM44" s="4" t="n">
        <v>13.33666666666667</v>
      </c>
    </row>
    <row r="45">
      <c r="A45" s="4" t="n">
        <v>26185040</v>
      </c>
      <c r="B45" s="4" t="inlineStr">
        <is>
          <t>San Felix</t>
        </is>
      </c>
      <c r="C45" s="4" t="n">
        <v>2696</v>
      </c>
      <c r="D45" s="4" t="n">
        <v>16.55384615384615</v>
      </c>
      <c r="E45" s="4" t="n">
        <v>16.75384615384616</v>
      </c>
      <c r="F45" s="4" t="n">
        <v>16.64615384615385</v>
      </c>
      <c r="G45" s="4" t="n">
        <v>16.56</v>
      </c>
      <c r="H45" s="4" t="n">
        <v>16.76538461538462</v>
      </c>
      <c r="I45" s="4" t="n">
        <v>17.03333333333333</v>
      </c>
      <c r="J45" s="4" t="n">
        <v>17.09629629629629</v>
      </c>
      <c r="K45" s="4" t="n">
        <v>17.132</v>
      </c>
      <c r="L45" s="4" t="n">
        <v>16.79230769230769</v>
      </c>
      <c r="M45" s="4" t="n">
        <v>16.02692307692308</v>
      </c>
      <c r="N45" s="4" t="n">
        <v>15.74583333333334</v>
      </c>
      <c r="O45" s="4" t="n">
        <v>16.20769230769231</v>
      </c>
      <c r="P45" s="4" t="n">
        <v>5.266666666666667</v>
      </c>
      <c r="Q45" s="4" t="n">
        <v>5.925925925925926</v>
      </c>
      <c r="R45" s="4" t="n">
        <v>6.111111111111112</v>
      </c>
      <c r="S45" s="4" t="n">
        <v>6.66923076923077</v>
      </c>
      <c r="T45" s="4" t="n">
        <v>6.833333333333332</v>
      </c>
      <c r="U45" s="4" t="n">
        <v>6.317857142857144</v>
      </c>
      <c r="V45" s="4" t="n">
        <v>5.957142857142856</v>
      </c>
      <c r="W45" s="4" t="n">
        <v>5.916000000000001</v>
      </c>
      <c r="X45" s="4" t="n">
        <v>6.188461538461539</v>
      </c>
      <c r="Y45" s="4" t="n">
        <v>6.38076923076923</v>
      </c>
      <c r="Z45" s="4" t="n">
        <v>6.156000000000001</v>
      </c>
      <c r="AA45" s="4" t="n">
        <v>5.623076923076922</v>
      </c>
      <c r="AB45" s="4" t="n">
        <v>10.97692307692308</v>
      </c>
      <c r="AC45" s="4" t="n">
        <v>11.31538461538461</v>
      </c>
      <c r="AD45" s="4" t="n">
        <v>11.45555555555556</v>
      </c>
      <c r="AE45" s="4" t="n">
        <v>11.64074074074074</v>
      </c>
      <c r="AF45" s="4" t="n">
        <v>11.72962962962963</v>
      </c>
      <c r="AG45" s="4" t="n">
        <v>11.60714285714286</v>
      </c>
      <c r="AH45" s="4" t="n">
        <v>11.59285714285714</v>
      </c>
      <c r="AI45" s="4" t="n">
        <v>11.48461538461538</v>
      </c>
      <c r="AJ45" s="4" t="n">
        <v>11.38148148148148</v>
      </c>
      <c r="AK45" s="4" t="n">
        <v>11.24444444444444</v>
      </c>
      <c r="AL45" s="4" t="n">
        <v>10.99615384615385</v>
      </c>
      <c r="AM45" s="4" t="n">
        <v>10.95925925925926</v>
      </c>
    </row>
    <row r="46">
      <c r="A46" s="4" t="n">
        <v>26105140</v>
      </c>
      <c r="B46" s="4" t="inlineStr">
        <is>
          <t>Barragan</t>
        </is>
      </c>
      <c r="C46" s="4" t="n">
        <v>2902</v>
      </c>
      <c r="D46" s="4" t="n">
        <v>16.09583333333333</v>
      </c>
      <c r="E46" s="4" t="n">
        <v>16.1952380952381</v>
      </c>
      <c r="F46" s="4" t="n">
        <v>16.35833333333333</v>
      </c>
      <c r="G46" s="4" t="n">
        <v>16.44782608695652</v>
      </c>
      <c r="H46" s="4" t="n">
        <v>16.425</v>
      </c>
      <c r="I46" s="4" t="n">
        <v>16.17083333333333</v>
      </c>
      <c r="J46" s="4" t="n">
        <v>15.725</v>
      </c>
      <c r="K46" s="4" t="n">
        <v>15.875</v>
      </c>
      <c r="L46" s="4" t="n">
        <v>16.16086956521739</v>
      </c>
      <c r="M46" s="4" t="n">
        <v>15.75652173913044</v>
      </c>
      <c r="N46" s="4" t="n">
        <v>15.67826086956522</v>
      </c>
      <c r="O46" s="4" t="n">
        <v>15.6875</v>
      </c>
      <c r="P46" s="4" t="n">
        <v>7.186666666666667</v>
      </c>
      <c r="Q46" s="4" t="n">
        <v>7.35</v>
      </c>
      <c r="R46" s="4" t="n">
        <v>7.430000000000001</v>
      </c>
      <c r="S46" s="4" t="n">
        <v>7.813333333333333</v>
      </c>
      <c r="T46" s="4" t="n">
        <v>8.006666666666666</v>
      </c>
      <c r="U46" s="4" t="n">
        <v>8.039999999999999</v>
      </c>
      <c r="V46" s="4" t="n">
        <v>7.73</v>
      </c>
      <c r="W46" s="4" t="n">
        <v>7.66</v>
      </c>
      <c r="X46" s="4" t="n">
        <v>7.533333333333333</v>
      </c>
      <c r="Y46" s="4" t="n">
        <v>7.513333333333334</v>
      </c>
      <c r="Z46" s="4" t="n">
        <v>7.443333333333332</v>
      </c>
      <c r="AA46" s="4" t="n">
        <v>7.353333333333333</v>
      </c>
      <c r="AB46" s="4" t="n">
        <v>11.68</v>
      </c>
      <c r="AC46" s="4" t="n">
        <v>11.78</v>
      </c>
      <c r="AD46" s="4" t="n">
        <v>11.86666666666667</v>
      </c>
      <c r="AE46" s="4" t="n">
        <v>11.95</v>
      </c>
      <c r="AF46" s="4" t="n">
        <v>12.16</v>
      </c>
      <c r="AG46" s="4" t="n">
        <v>12.03666666666667</v>
      </c>
      <c r="AH46" s="4" t="n">
        <v>11.70666666666667</v>
      </c>
      <c r="AI46" s="4" t="n">
        <v>11.79333333333333</v>
      </c>
      <c r="AJ46" s="4" t="n">
        <v>11.71333333333333</v>
      </c>
      <c r="AK46" s="4" t="n">
        <v>11.37333333333333</v>
      </c>
      <c r="AL46" s="4" t="n">
        <v>11.31</v>
      </c>
      <c r="AM46" s="4" t="n">
        <v>11.48333333333333</v>
      </c>
    </row>
    <row r="47">
      <c r="A47" s="4" t="n">
        <v>26025070</v>
      </c>
      <c r="B47" s="4" t="inlineStr">
        <is>
          <t>Gabriel Lopez</t>
        </is>
      </c>
      <c r="C47" s="4" t="n">
        <v>3000</v>
      </c>
      <c r="D47" s="4" t="n">
        <v>15.775</v>
      </c>
      <c r="E47" s="4" t="n">
        <v>15.7125</v>
      </c>
      <c r="F47" s="4" t="n">
        <v>15.875</v>
      </c>
      <c r="G47" s="4" t="n">
        <v>15.50833333333333</v>
      </c>
      <c r="H47" s="4" t="n">
        <v>15.22916666666667</v>
      </c>
      <c r="I47" s="4" t="n">
        <v>14.4</v>
      </c>
      <c r="J47" s="4" t="n">
        <v>13.78333333333333</v>
      </c>
      <c r="K47" s="4" t="n">
        <v>14.10416666666667</v>
      </c>
      <c r="L47" s="4" t="n">
        <v>14.89583333333334</v>
      </c>
      <c r="M47" s="4" t="n">
        <v>15.40416666666667</v>
      </c>
      <c r="N47" s="4" t="n">
        <v>15.4375</v>
      </c>
      <c r="O47" s="4" t="n">
        <v>15.7375</v>
      </c>
      <c r="P47" s="4" t="n">
        <v>5.324999999999998</v>
      </c>
      <c r="Q47" s="4" t="n">
        <v>5.746428571428573</v>
      </c>
      <c r="R47" s="4" t="n">
        <v>5.964285714285714</v>
      </c>
      <c r="S47" s="4" t="n">
        <v>6.628571428571429</v>
      </c>
      <c r="T47" s="4" t="n">
        <v>6.792857142857142</v>
      </c>
      <c r="U47" s="4" t="n">
        <v>6.864285714285714</v>
      </c>
      <c r="V47" s="4" t="n">
        <v>6.47142857142857</v>
      </c>
      <c r="W47" s="4" t="n">
        <v>6.432142857142856</v>
      </c>
      <c r="X47" s="4" t="n">
        <v>6.171428571428572</v>
      </c>
      <c r="Y47" s="4" t="n">
        <v>6.107142857142857</v>
      </c>
      <c r="Z47" s="4" t="n">
        <v>6.078571428571428</v>
      </c>
      <c r="AA47" s="4" t="n">
        <v>5.817857142857144</v>
      </c>
      <c r="AB47" s="4" t="n">
        <v>10.5</v>
      </c>
      <c r="AC47" s="4" t="n">
        <v>10.48333333333333</v>
      </c>
      <c r="AD47" s="4" t="n">
        <v>10.57</v>
      </c>
      <c r="AE47" s="4" t="n">
        <v>10.65862068965517</v>
      </c>
      <c r="AF47" s="4" t="n">
        <v>10.62333333333333</v>
      </c>
      <c r="AG47" s="4" t="n">
        <v>10.22</v>
      </c>
      <c r="AH47" s="4" t="n">
        <v>9.848275862068965</v>
      </c>
      <c r="AI47" s="4" t="n">
        <v>9.996666666666666</v>
      </c>
      <c r="AJ47" s="4" t="n">
        <v>10.36666666666667</v>
      </c>
      <c r="AK47" s="4" t="n">
        <v>10.55333333333333</v>
      </c>
      <c r="AL47" s="4" t="n">
        <v>10.56666666666666</v>
      </c>
      <c r="AM47" s="4" t="n">
        <v>10.52</v>
      </c>
    </row>
    <row r="48">
      <c r="A48" s="4" t="n">
        <v>26155150</v>
      </c>
      <c r="B48" s="4" t="inlineStr">
        <is>
          <t>Brisas Las</t>
        </is>
      </c>
      <c r="C48" s="4" t="n">
        <v>4150</v>
      </c>
      <c r="D48" s="4" t="n">
        <v>8.576190476190476</v>
      </c>
      <c r="E48" s="4" t="n">
        <v>8.523809523809526</v>
      </c>
      <c r="F48" s="4" t="n">
        <v>8.666666666666666</v>
      </c>
      <c r="G48" s="4" t="n">
        <v>8.538095238095238</v>
      </c>
      <c r="H48" s="4" t="n">
        <v>8.476190476190474</v>
      </c>
      <c r="I48" s="4" t="n">
        <v>8.685714285714285</v>
      </c>
      <c r="J48" s="4" t="n">
        <v>8.614999999999998</v>
      </c>
      <c r="K48" s="4" t="n">
        <v>8.642857142857142</v>
      </c>
      <c r="L48" s="4" t="n">
        <v>8.261904761904761</v>
      </c>
      <c r="M48" s="4" t="n">
        <v>7.72857142857143</v>
      </c>
      <c r="N48" s="4" t="n">
        <v>7.995238095238097</v>
      </c>
      <c r="O48" s="4" t="n">
        <v>8.425000000000001</v>
      </c>
      <c r="P48" s="4" t="n">
        <v>0.7620689655172415</v>
      </c>
      <c r="Q48" s="4" t="n">
        <v>0.9758620689655174</v>
      </c>
      <c r="R48" s="4" t="n">
        <v>1.155172413793103</v>
      </c>
      <c r="S48" s="4" t="n">
        <v>1.796428571428572</v>
      </c>
      <c r="T48" s="4" t="n">
        <v>1.946428571428571</v>
      </c>
      <c r="U48" s="4" t="n">
        <v>1.517857142857143</v>
      </c>
      <c r="V48" s="4" t="n">
        <v>0.9035714285714287</v>
      </c>
      <c r="W48" s="4" t="n">
        <v>0.9275862068965519</v>
      </c>
      <c r="X48" s="4" t="n">
        <v>1.048275862068965</v>
      </c>
      <c r="Y48" s="4" t="n">
        <v>1.310344827586207</v>
      </c>
      <c r="Z48" s="4" t="n">
        <v>1.479310344827586</v>
      </c>
      <c r="AA48" s="4" t="n">
        <v>1.013793103448276</v>
      </c>
      <c r="AB48" s="4" t="n">
        <v>4.406896551724138</v>
      </c>
      <c r="AC48" s="4" t="n">
        <v>4.637931034482759</v>
      </c>
      <c r="AD48" s="4" t="n">
        <v>4.775862068965517</v>
      </c>
      <c r="AE48" s="4" t="n">
        <v>4.97857142857143</v>
      </c>
      <c r="AF48" s="4" t="n">
        <v>5.120689655172414</v>
      </c>
      <c r="AG48" s="4" t="n">
        <v>4.86551724137931</v>
      </c>
      <c r="AH48" s="4" t="n">
        <v>4.548275862068966</v>
      </c>
      <c r="AI48" s="4" t="n">
        <v>4.5</v>
      </c>
      <c r="AJ48" s="4" t="n">
        <v>4.425</v>
      </c>
      <c r="AK48" s="4" t="n">
        <v>4.375862068965517</v>
      </c>
      <c r="AL48" s="4" t="n">
        <v>4.441379310344828</v>
      </c>
      <c r="AM48" s="4" t="n">
        <v>4.537931034482758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10" customWidth="1" min="4" max="4"/>
    <col width="12" customWidth="1" min="5" max="5"/>
    <col width="10" customWidth="1" min="6" max="6"/>
    <col width="8" customWidth="1" min="7" max="7"/>
  </cols>
  <sheetData>
    <row r="1">
      <c r="A1" s="2" t="inlineStr">
        <is>
          <t>Variable</t>
        </is>
      </c>
      <c r="B1" s="2" t="inlineStr">
        <is>
          <t>Mes</t>
        </is>
      </c>
      <c r="C1" s="2" t="inlineStr">
        <is>
          <t>n</t>
        </is>
      </c>
      <c r="D1" s="2" t="inlineStr">
        <is>
          <t>T0 (°C)</t>
        </is>
      </c>
      <c r="E1" s="2" t="inlineStr">
        <is>
          <t>α (°C/m)</t>
        </is>
      </c>
      <c r="F1" s="2" t="inlineStr">
        <is>
          <t>α (°C/km)</t>
        </is>
      </c>
      <c r="G1" s="2" t="inlineStr">
        <is>
          <t>R²</t>
        </is>
      </c>
    </row>
    <row r="2">
      <c r="A2" s="4" t="inlineStr">
        <is>
          <t>Tmax</t>
        </is>
      </c>
      <c r="B2" s="4" t="inlineStr">
        <is>
          <t>ENE</t>
        </is>
      </c>
      <c r="C2" s="4">
        <f>COUNT(Datos_mensuales!$D$2:$D$48)</f>
        <v/>
      </c>
      <c r="D2" s="5">
        <f>INTERCEPT(Datos_mensuales!$D$2:$D$48,Datos_mensuales!$C$2:$C$48)</f>
        <v/>
      </c>
      <c r="E2" s="7">
        <f>-SLOPE(Datos_mensuales!$D$2:$D$48,Datos_mensuales!$C$2:$C$48)</f>
        <v/>
      </c>
      <c r="F2" s="8">
        <f>1000*E2</f>
        <v/>
      </c>
      <c r="G2" s="5">
        <f>RSQ(Datos_mensuales!$D$2:$D$48,Datos_mensuales!$C$2:$C$48)</f>
        <v/>
      </c>
    </row>
    <row r="3">
      <c r="A3" s="4" t="inlineStr">
        <is>
          <t>Tmax</t>
        </is>
      </c>
      <c r="B3" s="4" t="inlineStr">
        <is>
          <t>FEB</t>
        </is>
      </c>
      <c r="C3" s="4">
        <f>COUNT(Datos_mensuales!$E$2:$E$48)</f>
        <v/>
      </c>
      <c r="D3" s="5">
        <f>INTERCEPT(Datos_mensuales!$E$2:$E$48,Datos_mensuales!$C$2:$C$48)</f>
        <v/>
      </c>
      <c r="E3" s="7">
        <f>-SLOPE(Datos_mensuales!$E$2:$E$48,Datos_mensuales!$C$2:$C$48)</f>
        <v/>
      </c>
      <c r="F3" s="8">
        <f>1000*E3</f>
        <v/>
      </c>
      <c r="G3" s="5">
        <f>RSQ(Datos_mensuales!$E$2:$E$48,Datos_mensuales!$C$2:$C$48)</f>
        <v/>
      </c>
    </row>
    <row r="4">
      <c r="A4" s="4" t="inlineStr">
        <is>
          <t>Tmax</t>
        </is>
      </c>
      <c r="B4" s="4" t="inlineStr">
        <is>
          <t>MAR</t>
        </is>
      </c>
      <c r="C4" s="4">
        <f>COUNT(Datos_mensuales!$F$2:$F$48)</f>
        <v/>
      </c>
      <c r="D4" s="5">
        <f>INTERCEPT(Datos_mensuales!$F$2:$F$48,Datos_mensuales!$C$2:$C$48)</f>
        <v/>
      </c>
      <c r="E4" s="7">
        <f>-SLOPE(Datos_mensuales!$F$2:$F$48,Datos_mensuales!$C$2:$C$48)</f>
        <v/>
      </c>
      <c r="F4" s="8">
        <f>1000*E4</f>
        <v/>
      </c>
      <c r="G4" s="5">
        <f>RSQ(Datos_mensuales!$F$2:$F$48,Datos_mensuales!$C$2:$C$48)</f>
        <v/>
      </c>
    </row>
    <row r="5">
      <c r="A5" s="4" t="inlineStr">
        <is>
          <t>Tmax</t>
        </is>
      </c>
      <c r="B5" s="4" t="inlineStr">
        <is>
          <t>ABR</t>
        </is>
      </c>
      <c r="C5" s="4">
        <f>COUNT(Datos_mensuales!$G$2:$G$48)</f>
        <v/>
      </c>
      <c r="D5" s="5">
        <f>INTERCEPT(Datos_mensuales!$G$2:$G$48,Datos_mensuales!$C$2:$C$48)</f>
        <v/>
      </c>
      <c r="E5" s="7">
        <f>-SLOPE(Datos_mensuales!$G$2:$G$48,Datos_mensuales!$C$2:$C$48)</f>
        <v/>
      </c>
      <c r="F5" s="8">
        <f>1000*E5</f>
        <v/>
      </c>
      <c r="G5" s="5">
        <f>RSQ(Datos_mensuales!$G$2:$G$48,Datos_mensuales!$C$2:$C$48)</f>
        <v/>
      </c>
    </row>
    <row r="6">
      <c r="A6" s="4" t="inlineStr">
        <is>
          <t>Tmax</t>
        </is>
      </c>
      <c r="B6" s="4" t="inlineStr">
        <is>
          <t>MAY</t>
        </is>
      </c>
      <c r="C6" s="4">
        <f>COUNT(Datos_mensuales!$H$2:$H$48)</f>
        <v/>
      </c>
      <c r="D6" s="5">
        <f>INTERCEPT(Datos_mensuales!$H$2:$H$48,Datos_mensuales!$C$2:$C$48)</f>
        <v/>
      </c>
      <c r="E6" s="7">
        <f>-SLOPE(Datos_mensuales!$H$2:$H$48,Datos_mensuales!$C$2:$C$48)</f>
        <v/>
      </c>
      <c r="F6" s="8">
        <f>1000*E6</f>
        <v/>
      </c>
      <c r="G6" s="5">
        <f>RSQ(Datos_mensuales!$H$2:$H$48,Datos_mensuales!$C$2:$C$48)</f>
        <v/>
      </c>
    </row>
    <row r="7">
      <c r="A7" s="4" t="inlineStr">
        <is>
          <t>Tmax</t>
        </is>
      </c>
      <c r="B7" s="4" t="inlineStr">
        <is>
          <t>JUN</t>
        </is>
      </c>
      <c r="C7" s="4">
        <f>COUNT(Datos_mensuales!$I$2:$I$48)</f>
        <v/>
      </c>
      <c r="D7" s="5">
        <f>INTERCEPT(Datos_mensuales!$I$2:$I$48,Datos_mensuales!$C$2:$C$48)</f>
        <v/>
      </c>
      <c r="E7" s="7">
        <f>-SLOPE(Datos_mensuales!$I$2:$I$48,Datos_mensuales!$C$2:$C$48)</f>
        <v/>
      </c>
      <c r="F7" s="8">
        <f>1000*E7</f>
        <v/>
      </c>
      <c r="G7" s="5">
        <f>RSQ(Datos_mensuales!$I$2:$I$48,Datos_mensuales!$C$2:$C$48)</f>
        <v/>
      </c>
    </row>
    <row r="8">
      <c r="A8" s="4" t="inlineStr">
        <is>
          <t>Tmax</t>
        </is>
      </c>
      <c r="B8" s="4" t="inlineStr">
        <is>
          <t>JUL</t>
        </is>
      </c>
      <c r="C8" s="4">
        <f>COUNT(Datos_mensuales!$J$2:$J$48)</f>
        <v/>
      </c>
      <c r="D8" s="5">
        <f>INTERCEPT(Datos_mensuales!$J$2:$J$48,Datos_mensuales!$C$2:$C$48)</f>
        <v/>
      </c>
      <c r="E8" s="7">
        <f>-SLOPE(Datos_mensuales!$J$2:$J$48,Datos_mensuales!$C$2:$C$48)</f>
        <v/>
      </c>
      <c r="F8" s="8">
        <f>1000*E8</f>
        <v/>
      </c>
      <c r="G8" s="5">
        <f>RSQ(Datos_mensuales!$J$2:$J$48,Datos_mensuales!$C$2:$C$48)</f>
        <v/>
      </c>
    </row>
    <row r="9">
      <c r="A9" s="4" t="inlineStr">
        <is>
          <t>Tmax</t>
        </is>
      </c>
      <c r="B9" s="4" t="inlineStr">
        <is>
          <t>AGO</t>
        </is>
      </c>
      <c r="C9" s="4">
        <f>COUNT(Datos_mensuales!$K$2:$K$48)</f>
        <v/>
      </c>
      <c r="D9" s="5">
        <f>INTERCEPT(Datos_mensuales!$K$2:$K$48,Datos_mensuales!$C$2:$C$48)</f>
        <v/>
      </c>
      <c r="E9" s="7">
        <f>-SLOPE(Datos_mensuales!$K$2:$K$48,Datos_mensuales!$C$2:$C$48)</f>
        <v/>
      </c>
      <c r="F9" s="8">
        <f>1000*E9</f>
        <v/>
      </c>
      <c r="G9" s="5">
        <f>RSQ(Datos_mensuales!$K$2:$K$48,Datos_mensuales!$C$2:$C$48)</f>
        <v/>
      </c>
    </row>
    <row r="10">
      <c r="A10" s="4" t="inlineStr">
        <is>
          <t>Tmax</t>
        </is>
      </c>
      <c r="B10" s="4" t="inlineStr">
        <is>
          <t>SEP</t>
        </is>
      </c>
      <c r="C10" s="4">
        <f>COUNT(Datos_mensuales!$L$2:$L$48)</f>
        <v/>
      </c>
      <c r="D10" s="5">
        <f>INTERCEPT(Datos_mensuales!$L$2:$L$48,Datos_mensuales!$C$2:$C$48)</f>
        <v/>
      </c>
      <c r="E10" s="7">
        <f>-SLOPE(Datos_mensuales!$L$2:$L$48,Datos_mensuales!$C$2:$C$48)</f>
        <v/>
      </c>
      <c r="F10" s="8">
        <f>1000*E10</f>
        <v/>
      </c>
      <c r="G10" s="5">
        <f>RSQ(Datos_mensuales!$L$2:$L$48,Datos_mensuales!$C$2:$C$48)</f>
        <v/>
      </c>
    </row>
    <row r="11">
      <c r="A11" s="4" t="inlineStr">
        <is>
          <t>Tmax</t>
        </is>
      </c>
      <c r="B11" s="4" t="inlineStr">
        <is>
          <t>OCT</t>
        </is>
      </c>
      <c r="C11" s="4">
        <f>COUNT(Datos_mensuales!$M$2:$M$48)</f>
        <v/>
      </c>
      <c r="D11" s="5">
        <f>INTERCEPT(Datos_mensuales!$M$2:$M$48,Datos_mensuales!$C$2:$C$48)</f>
        <v/>
      </c>
      <c r="E11" s="7">
        <f>-SLOPE(Datos_mensuales!$M$2:$M$48,Datos_mensuales!$C$2:$C$48)</f>
        <v/>
      </c>
      <c r="F11" s="8">
        <f>1000*E11</f>
        <v/>
      </c>
      <c r="G11" s="5">
        <f>RSQ(Datos_mensuales!$M$2:$M$48,Datos_mensuales!$C$2:$C$48)</f>
        <v/>
      </c>
    </row>
    <row r="12">
      <c r="A12" s="4" t="inlineStr">
        <is>
          <t>Tmax</t>
        </is>
      </c>
      <c r="B12" s="4" t="inlineStr">
        <is>
          <t>NOV</t>
        </is>
      </c>
      <c r="C12" s="4">
        <f>COUNT(Datos_mensuales!$N$2:$N$48)</f>
        <v/>
      </c>
      <c r="D12" s="5">
        <f>INTERCEPT(Datos_mensuales!$N$2:$N$48,Datos_mensuales!$C$2:$C$48)</f>
        <v/>
      </c>
      <c r="E12" s="7">
        <f>-SLOPE(Datos_mensuales!$N$2:$N$48,Datos_mensuales!$C$2:$C$48)</f>
        <v/>
      </c>
      <c r="F12" s="8">
        <f>1000*E12</f>
        <v/>
      </c>
      <c r="G12" s="5">
        <f>RSQ(Datos_mensuales!$N$2:$N$48,Datos_mensuales!$C$2:$C$48)</f>
        <v/>
      </c>
    </row>
    <row r="13">
      <c r="A13" s="4" t="inlineStr">
        <is>
          <t>Tmax</t>
        </is>
      </c>
      <c r="B13" s="4" t="inlineStr">
        <is>
          <t>DIC</t>
        </is>
      </c>
      <c r="C13" s="4">
        <f>COUNT(Datos_mensuales!$O$2:$O$48)</f>
        <v/>
      </c>
      <c r="D13" s="5">
        <f>INTERCEPT(Datos_mensuales!$O$2:$O$48,Datos_mensuales!$C$2:$C$48)</f>
        <v/>
      </c>
      <c r="E13" s="7">
        <f>-SLOPE(Datos_mensuales!$O$2:$O$48,Datos_mensuales!$C$2:$C$48)</f>
        <v/>
      </c>
      <c r="F13" s="8">
        <f>1000*E13</f>
        <v/>
      </c>
      <c r="G13" s="5">
        <f>RSQ(Datos_mensuales!$O$2:$O$48,Datos_mensuales!$C$2:$C$48)</f>
        <v/>
      </c>
    </row>
    <row r="14">
      <c r="A14" s="4" t="inlineStr">
        <is>
          <t>Tmin</t>
        </is>
      </c>
      <c r="B14" s="4" t="inlineStr">
        <is>
          <t>ENE</t>
        </is>
      </c>
      <c r="C14" s="4">
        <f>COUNT(Datos_mensuales!$P$2:$P$48)</f>
        <v/>
      </c>
      <c r="D14" s="5">
        <f>INTERCEPT(Datos_mensuales!$P$2:$P$48,Datos_mensuales!$C$2:$C$48)</f>
        <v/>
      </c>
      <c r="E14" s="7">
        <f>-SLOPE(Datos_mensuales!$P$2:$P$48,Datos_mensuales!$C$2:$C$48)</f>
        <v/>
      </c>
      <c r="F14" s="8">
        <f>1000*E14</f>
        <v/>
      </c>
      <c r="G14" s="5">
        <f>RSQ(Datos_mensuales!$P$2:$P$48,Datos_mensuales!$C$2:$C$48)</f>
        <v/>
      </c>
    </row>
    <row r="15">
      <c r="A15" s="4" t="inlineStr">
        <is>
          <t>Tmin</t>
        </is>
      </c>
      <c r="B15" s="4" t="inlineStr">
        <is>
          <t>FEB</t>
        </is>
      </c>
      <c r="C15" s="4">
        <f>COUNT(Datos_mensuales!$Q$2:$Q$48)</f>
        <v/>
      </c>
      <c r="D15" s="5">
        <f>INTERCEPT(Datos_mensuales!$Q$2:$Q$48,Datos_mensuales!$C$2:$C$48)</f>
        <v/>
      </c>
      <c r="E15" s="7">
        <f>-SLOPE(Datos_mensuales!$Q$2:$Q$48,Datos_mensuales!$C$2:$C$48)</f>
        <v/>
      </c>
      <c r="F15" s="8">
        <f>1000*E15</f>
        <v/>
      </c>
      <c r="G15" s="5">
        <f>RSQ(Datos_mensuales!$Q$2:$Q$48,Datos_mensuales!$C$2:$C$48)</f>
        <v/>
      </c>
    </row>
    <row r="16">
      <c r="A16" s="4" t="inlineStr">
        <is>
          <t>Tmin</t>
        </is>
      </c>
      <c r="B16" s="4" t="inlineStr">
        <is>
          <t>MAR</t>
        </is>
      </c>
      <c r="C16" s="4">
        <f>COUNT(Datos_mensuales!$R$2:$R$48)</f>
        <v/>
      </c>
      <c r="D16" s="5">
        <f>INTERCEPT(Datos_mensuales!$R$2:$R$48,Datos_mensuales!$C$2:$C$48)</f>
        <v/>
      </c>
      <c r="E16" s="7">
        <f>-SLOPE(Datos_mensuales!$R$2:$R$48,Datos_mensuales!$C$2:$C$48)</f>
        <v/>
      </c>
      <c r="F16" s="8">
        <f>1000*E16</f>
        <v/>
      </c>
      <c r="G16" s="5">
        <f>RSQ(Datos_mensuales!$R$2:$R$48,Datos_mensuales!$C$2:$C$48)</f>
        <v/>
      </c>
    </row>
    <row r="17">
      <c r="A17" s="4" t="inlineStr">
        <is>
          <t>Tmin</t>
        </is>
      </c>
      <c r="B17" s="4" t="inlineStr">
        <is>
          <t>ABR</t>
        </is>
      </c>
      <c r="C17" s="4">
        <f>COUNT(Datos_mensuales!$S$2:$S$48)</f>
        <v/>
      </c>
      <c r="D17" s="5">
        <f>INTERCEPT(Datos_mensuales!$S$2:$S$48,Datos_mensuales!$C$2:$C$48)</f>
        <v/>
      </c>
      <c r="E17" s="7">
        <f>-SLOPE(Datos_mensuales!$S$2:$S$48,Datos_mensuales!$C$2:$C$48)</f>
        <v/>
      </c>
      <c r="F17" s="8">
        <f>1000*E17</f>
        <v/>
      </c>
      <c r="G17" s="5">
        <f>RSQ(Datos_mensuales!$S$2:$S$48,Datos_mensuales!$C$2:$C$48)</f>
        <v/>
      </c>
    </row>
    <row r="18">
      <c r="A18" s="4" t="inlineStr">
        <is>
          <t>Tmin</t>
        </is>
      </c>
      <c r="B18" s="4" t="inlineStr">
        <is>
          <t>MAY</t>
        </is>
      </c>
      <c r="C18" s="4">
        <f>COUNT(Datos_mensuales!$T$2:$T$48)</f>
        <v/>
      </c>
      <c r="D18" s="5">
        <f>INTERCEPT(Datos_mensuales!$T$2:$T$48,Datos_mensuales!$C$2:$C$48)</f>
        <v/>
      </c>
      <c r="E18" s="7">
        <f>-SLOPE(Datos_mensuales!$T$2:$T$48,Datos_mensuales!$C$2:$C$48)</f>
        <v/>
      </c>
      <c r="F18" s="8">
        <f>1000*E18</f>
        <v/>
      </c>
      <c r="G18" s="5">
        <f>RSQ(Datos_mensuales!$T$2:$T$48,Datos_mensuales!$C$2:$C$48)</f>
        <v/>
      </c>
    </row>
    <row r="19">
      <c r="A19" s="4" t="inlineStr">
        <is>
          <t>Tmin</t>
        </is>
      </c>
      <c r="B19" s="4" t="inlineStr">
        <is>
          <t>JUN</t>
        </is>
      </c>
      <c r="C19" s="4">
        <f>COUNT(Datos_mensuales!$U$2:$U$48)</f>
        <v/>
      </c>
      <c r="D19" s="5">
        <f>INTERCEPT(Datos_mensuales!$U$2:$U$48,Datos_mensuales!$C$2:$C$48)</f>
        <v/>
      </c>
      <c r="E19" s="7">
        <f>-SLOPE(Datos_mensuales!$U$2:$U$48,Datos_mensuales!$C$2:$C$48)</f>
        <v/>
      </c>
      <c r="F19" s="8">
        <f>1000*E19</f>
        <v/>
      </c>
      <c r="G19" s="5">
        <f>RSQ(Datos_mensuales!$U$2:$U$48,Datos_mensuales!$C$2:$C$48)</f>
        <v/>
      </c>
    </row>
    <row r="20">
      <c r="A20" s="4" t="inlineStr">
        <is>
          <t>Tmin</t>
        </is>
      </c>
      <c r="B20" s="4" t="inlineStr">
        <is>
          <t>JUL</t>
        </is>
      </c>
      <c r="C20" s="4">
        <f>COUNT(Datos_mensuales!$V$2:$V$48)</f>
        <v/>
      </c>
      <c r="D20" s="5">
        <f>INTERCEPT(Datos_mensuales!$V$2:$V$48,Datos_mensuales!$C$2:$C$48)</f>
        <v/>
      </c>
      <c r="E20" s="7">
        <f>-SLOPE(Datos_mensuales!$V$2:$V$48,Datos_mensuales!$C$2:$C$48)</f>
        <v/>
      </c>
      <c r="F20" s="8">
        <f>1000*E20</f>
        <v/>
      </c>
      <c r="G20" s="5">
        <f>RSQ(Datos_mensuales!$V$2:$V$48,Datos_mensuales!$C$2:$C$48)</f>
        <v/>
      </c>
    </row>
    <row r="21">
      <c r="A21" s="4" t="inlineStr">
        <is>
          <t>Tmin</t>
        </is>
      </c>
      <c r="B21" s="4" t="inlineStr">
        <is>
          <t>AGO</t>
        </is>
      </c>
      <c r="C21" s="4">
        <f>COUNT(Datos_mensuales!$W$2:$W$48)</f>
        <v/>
      </c>
      <c r="D21" s="5">
        <f>INTERCEPT(Datos_mensuales!$W$2:$W$48,Datos_mensuales!$C$2:$C$48)</f>
        <v/>
      </c>
      <c r="E21" s="7">
        <f>-SLOPE(Datos_mensuales!$W$2:$W$48,Datos_mensuales!$C$2:$C$48)</f>
        <v/>
      </c>
      <c r="F21" s="8">
        <f>1000*E21</f>
        <v/>
      </c>
      <c r="G21" s="5">
        <f>RSQ(Datos_mensuales!$W$2:$W$48,Datos_mensuales!$C$2:$C$48)</f>
        <v/>
      </c>
    </row>
    <row r="22">
      <c r="A22" s="4" t="inlineStr">
        <is>
          <t>Tmin</t>
        </is>
      </c>
      <c r="B22" s="4" t="inlineStr">
        <is>
          <t>SEP</t>
        </is>
      </c>
      <c r="C22" s="4">
        <f>COUNT(Datos_mensuales!$X$2:$X$48)</f>
        <v/>
      </c>
      <c r="D22" s="5">
        <f>INTERCEPT(Datos_mensuales!$X$2:$X$48,Datos_mensuales!$C$2:$C$48)</f>
        <v/>
      </c>
      <c r="E22" s="7">
        <f>-SLOPE(Datos_mensuales!$X$2:$X$48,Datos_mensuales!$C$2:$C$48)</f>
        <v/>
      </c>
      <c r="F22" s="8">
        <f>1000*E22</f>
        <v/>
      </c>
      <c r="G22" s="5">
        <f>RSQ(Datos_mensuales!$X$2:$X$48,Datos_mensuales!$C$2:$C$48)</f>
        <v/>
      </c>
    </row>
    <row r="23">
      <c r="A23" s="4" t="inlineStr">
        <is>
          <t>Tmin</t>
        </is>
      </c>
      <c r="B23" s="4" t="inlineStr">
        <is>
          <t>OCT</t>
        </is>
      </c>
      <c r="C23" s="4">
        <f>COUNT(Datos_mensuales!$Y$2:$Y$48)</f>
        <v/>
      </c>
      <c r="D23" s="5">
        <f>INTERCEPT(Datos_mensuales!$Y$2:$Y$48,Datos_mensuales!$C$2:$C$48)</f>
        <v/>
      </c>
      <c r="E23" s="7">
        <f>-SLOPE(Datos_mensuales!$Y$2:$Y$48,Datos_mensuales!$C$2:$C$48)</f>
        <v/>
      </c>
      <c r="F23" s="8">
        <f>1000*E23</f>
        <v/>
      </c>
      <c r="G23" s="5">
        <f>RSQ(Datos_mensuales!$Y$2:$Y$48,Datos_mensuales!$C$2:$C$48)</f>
        <v/>
      </c>
    </row>
    <row r="24">
      <c r="A24" s="4" t="inlineStr">
        <is>
          <t>Tmin</t>
        </is>
      </c>
      <c r="B24" s="4" t="inlineStr">
        <is>
          <t>NOV</t>
        </is>
      </c>
      <c r="C24" s="4">
        <f>COUNT(Datos_mensuales!$Z$2:$Z$48)</f>
        <v/>
      </c>
      <c r="D24" s="5">
        <f>INTERCEPT(Datos_mensuales!$Z$2:$Z$48,Datos_mensuales!$C$2:$C$48)</f>
        <v/>
      </c>
      <c r="E24" s="7">
        <f>-SLOPE(Datos_mensuales!$Z$2:$Z$48,Datos_mensuales!$C$2:$C$48)</f>
        <v/>
      </c>
      <c r="F24" s="8">
        <f>1000*E24</f>
        <v/>
      </c>
      <c r="G24" s="5">
        <f>RSQ(Datos_mensuales!$Z$2:$Z$48,Datos_mensuales!$C$2:$C$48)</f>
        <v/>
      </c>
    </row>
    <row r="25">
      <c r="A25" s="4" t="inlineStr">
        <is>
          <t>Tmin</t>
        </is>
      </c>
      <c r="B25" s="4" t="inlineStr">
        <is>
          <t>DIC</t>
        </is>
      </c>
      <c r="C25" s="4">
        <f>COUNT(Datos_mensuales!$AA$2:$AA$48)</f>
        <v/>
      </c>
      <c r="D25" s="5">
        <f>INTERCEPT(Datos_mensuales!$AA$2:$AA$48,Datos_mensuales!$C$2:$C$48)</f>
        <v/>
      </c>
      <c r="E25" s="7">
        <f>-SLOPE(Datos_mensuales!$AA$2:$AA$48,Datos_mensuales!$C$2:$C$48)</f>
        <v/>
      </c>
      <c r="F25" s="8">
        <f>1000*E25</f>
        <v/>
      </c>
      <c r="G25" s="5">
        <f>RSQ(Datos_mensuales!$AA$2:$AA$48,Datos_mensuales!$C$2:$C$48)</f>
        <v/>
      </c>
    </row>
    <row r="26">
      <c r="A26" s="4" t="inlineStr">
        <is>
          <t>Tmed</t>
        </is>
      </c>
      <c r="B26" s="4" t="inlineStr">
        <is>
          <t>ENE</t>
        </is>
      </c>
      <c r="C26" s="4">
        <f>COUNT(Datos_mensuales!$AB$2:$AB$48)</f>
        <v/>
      </c>
      <c r="D26" s="5">
        <f>INTERCEPT(Datos_mensuales!$AB$2:$AB$48,Datos_mensuales!$C$2:$C$48)</f>
        <v/>
      </c>
      <c r="E26" s="7">
        <f>-SLOPE(Datos_mensuales!$AB$2:$AB$48,Datos_mensuales!$C$2:$C$48)</f>
        <v/>
      </c>
      <c r="F26" s="8">
        <f>1000*E26</f>
        <v/>
      </c>
      <c r="G26" s="5">
        <f>RSQ(Datos_mensuales!$AB$2:$AB$48,Datos_mensuales!$C$2:$C$48)</f>
        <v/>
      </c>
    </row>
    <row r="27">
      <c r="A27" s="4" t="inlineStr">
        <is>
          <t>Tmed</t>
        </is>
      </c>
      <c r="B27" s="4" t="inlineStr">
        <is>
          <t>FEB</t>
        </is>
      </c>
      <c r="C27" s="4">
        <f>COUNT(Datos_mensuales!$AC$2:$AC$48)</f>
        <v/>
      </c>
      <c r="D27" s="5">
        <f>INTERCEPT(Datos_mensuales!$AC$2:$AC$48,Datos_mensuales!$C$2:$C$48)</f>
        <v/>
      </c>
      <c r="E27" s="7">
        <f>-SLOPE(Datos_mensuales!$AC$2:$AC$48,Datos_mensuales!$C$2:$C$48)</f>
        <v/>
      </c>
      <c r="F27" s="8">
        <f>1000*E27</f>
        <v/>
      </c>
      <c r="G27" s="5">
        <f>RSQ(Datos_mensuales!$AC$2:$AC$48,Datos_mensuales!$C$2:$C$48)</f>
        <v/>
      </c>
    </row>
    <row r="28">
      <c r="A28" s="4" t="inlineStr">
        <is>
          <t>Tmed</t>
        </is>
      </c>
      <c r="B28" s="4" t="inlineStr">
        <is>
          <t>MAR</t>
        </is>
      </c>
      <c r="C28" s="4">
        <f>COUNT(Datos_mensuales!$AD$2:$AD$48)</f>
        <v/>
      </c>
      <c r="D28" s="5">
        <f>INTERCEPT(Datos_mensuales!$AD$2:$AD$48,Datos_mensuales!$C$2:$C$48)</f>
        <v/>
      </c>
      <c r="E28" s="7">
        <f>-SLOPE(Datos_mensuales!$AD$2:$AD$48,Datos_mensuales!$C$2:$C$48)</f>
        <v/>
      </c>
      <c r="F28" s="8">
        <f>1000*E28</f>
        <v/>
      </c>
      <c r="G28" s="5">
        <f>RSQ(Datos_mensuales!$AD$2:$AD$48,Datos_mensuales!$C$2:$C$48)</f>
        <v/>
      </c>
    </row>
    <row r="29">
      <c r="A29" s="4" t="inlineStr">
        <is>
          <t>Tmed</t>
        </is>
      </c>
      <c r="B29" s="4" t="inlineStr">
        <is>
          <t>ABR</t>
        </is>
      </c>
      <c r="C29" s="4">
        <f>COUNT(Datos_mensuales!$AE$2:$AE$48)</f>
        <v/>
      </c>
      <c r="D29" s="5">
        <f>INTERCEPT(Datos_mensuales!$AE$2:$AE$48,Datos_mensuales!$C$2:$C$48)</f>
        <v/>
      </c>
      <c r="E29" s="7">
        <f>-SLOPE(Datos_mensuales!$AE$2:$AE$48,Datos_mensuales!$C$2:$C$48)</f>
        <v/>
      </c>
      <c r="F29" s="8">
        <f>1000*E29</f>
        <v/>
      </c>
      <c r="G29" s="5">
        <f>RSQ(Datos_mensuales!$AE$2:$AE$48,Datos_mensuales!$C$2:$C$48)</f>
        <v/>
      </c>
    </row>
    <row r="30">
      <c r="A30" s="4" t="inlineStr">
        <is>
          <t>Tmed</t>
        </is>
      </c>
      <c r="B30" s="4" t="inlineStr">
        <is>
          <t>MAY</t>
        </is>
      </c>
      <c r="C30" s="4">
        <f>COUNT(Datos_mensuales!$AF$2:$AF$48)</f>
        <v/>
      </c>
      <c r="D30" s="5">
        <f>INTERCEPT(Datos_mensuales!$AF$2:$AF$48,Datos_mensuales!$C$2:$C$48)</f>
        <v/>
      </c>
      <c r="E30" s="7">
        <f>-SLOPE(Datos_mensuales!$AF$2:$AF$48,Datos_mensuales!$C$2:$C$48)</f>
        <v/>
      </c>
      <c r="F30" s="8">
        <f>1000*E30</f>
        <v/>
      </c>
      <c r="G30" s="5">
        <f>RSQ(Datos_mensuales!$AF$2:$AF$48,Datos_mensuales!$C$2:$C$48)</f>
        <v/>
      </c>
    </row>
    <row r="31">
      <c r="A31" s="4" t="inlineStr">
        <is>
          <t>Tmed</t>
        </is>
      </c>
      <c r="B31" s="4" t="inlineStr">
        <is>
          <t>JUN</t>
        </is>
      </c>
      <c r="C31" s="4">
        <f>COUNT(Datos_mensuales!$AG$2:$AG$48)</f>
        <v/>
      </c>
      <c r="D31" s="5">
        <f>INTERCEPT(Datos_mensuales!$AG$2:$AG$48,Datos_mensuales!$C$2:$C$48)</f>
        <v/>
      </c>
      <c r="E31" s="7">
        <f>-SLOPE(Datos_mensuales!$AG$2:$AG$48,Datos_mensuales!$C$2:$C$48)</f>
        <v/>
      </c>
      <c r="F31" s="8">
        <f>1000*E31</f>
        <v/>
      </c>
      <c r="G31" s="5">
        <f>RSQ(Datos_mensuales!$AG$2:$AG$48,Datos_mensuales!$C$2:$C$48)</f>
        <v/>
      </c>
    </row>
    <row r="32">
      <c r="A32" s="4" t="inlineStr">
        <is>
          <t>Tmed</t>
        </is>
      </c>
      <c r="B32" s="4" t="inlineStr">
        <is>
          <t>JUL</t>
        </is>
      </c>
      <c r="C32" s="4">
        <f>COUNT(Datos_mensuales!$AH$2:$AH$48)</f>
        <v/>
      </c>
      <c r="D32" s="5">
        <f>INTERCEPT(Datos_mensuales!$AH$2:$AH$48,Datos_mensuales!$C$2:$C$48)</f>
        <v/>
      </c>
      <c r="E32" s="7">
        <f>-SLOPE(Datos_mensuales!$AH$2:$AH$48,Datos_mensuales!$C$2:$C$48)</f>
        <v/>
      </c>
      <c r="F32" s="8">
        <f>1000*E32</f>
        <v/>
      </c>
      <c r="G32" s="5">
        <f>RSQ(Datos_mensuales!$AH$2:$AH$48,Datos_mensuales!$C$2:$C$48)</f>
        <v/>
      </c>
    </row>
    <row r="33">
      <c r="A33" s="4" t="inlineStr">
        <is>
          <t>Tmed</t>
        </is>
      </c>
      <c r="B33" s="4" t="inlineStr">
        <is>
          <t>AGO</t>
        </is>
      </c>
      <c r="C33" s="4">
        <f>COUNT(Datos_mensuales!$AI$2:$AI$48)</f>
        <v/>
      </c>
      <c r="D33" s="5">
        <f>INTERCEPT(Datos_mensuales!$AI$2:$AI$48,Datos_mensuales!$C$2:$C$48)</f>
        <v/>
      </c>
      <c r="E33" s="7">
        <f>-SLOPE(Datos_mensuales!$AI$2:$AI$48,Datos_mensuales!$C$2:$C$48)</f>
        <v/>
      </c>
      <c r="F33" s="8">
        <f>1000*E33</f>
        <v/>
      </c>
      <c r="G33" s="5">
        <f>RSQ(Datos_mensuales!$AI$2:$AI$48,Datos_mensuales!$C$2:$C$48)</f>
        <v/>
      </c>
    </row>
    <row r="34">
      <c r="A34" s="4" t="inlineStr">
        <is>
          <t>Tmed</t>
        </is>
      </c>
      <c r="B34" s="4" t="inlineStr">
        <is>
          <t>SEP</t>
        </is>
      </c>
      <c r="C34" s="4">
        <f>COUNT(Datos_mensuales!$AJ$2:$AJ$48)</f>
        <v/>
      </c>
      <c r="D34" s="5">
        <f>INTERCEPT(Datos_mensuales!$AJ$2:$AJ$48,Datos_mensuales!$C$2:$C$48)</f>
        <v/>
      </c>
      <c r="E34" s="7">
        <f>-SLOPE(Datos_mensuales!$AJ$2:$AJ$48,Datos_mensuales!$C$2:$C$48)</f>
        <v/>
      </c>
      <c r="F34" s="8">
        <f>1000*E34</f>
        <v/>
      </c>
      <c r="G34" s="5">
        <f>RSQ(Datos_mensuales!$AJ$2:$AJ$48,Datos_mensuales!$C$2:$C$48)</f>
        <v/>
      </c>
    </row>
    <row r="35">
      <c r="A35" s="4" t="inlineStr">
        <is>
          <t>Tmed</t>
        </is>
      </c>
      <c r="B35" s="4" t="inlineStr">
        <is>
          <t>OCT</t>
        </is>
      </c>
      <c r="C35" s="4">
        <f>COUNT(Datos_mensuales!$AK$2:$AK$48)</f>
        <v/>
      </c>
      <c r="D35" s="5">
        <f>INTERCEPT(Datos_mensuales!$AK$2:$AK$48,Datos_mensuales!$C$2:$C$48)</f>
        <v/>
      </c>
      <c r="E35" s="7">
        <f>-SLOPE(Datos_mensuales!$AK$2:$AK$48,Datos_mensuales!$C$2:$C$48)</f>
        <v/>
      </c>
      <c r="F35" s="8">
        <f>1000*E35</f>
        <v/>
      </c>
      <c r="G35" s="5">
        <f>RSQ(Datos_mensuales!$AK$2:$AK$48,Datos_mensuales!$C$2:$C$48)</f>
        <v/>
      </c>
    </row>
    <row r="36">
      <c r="A36" s="4" t="inlineStr">
        <is>
          <t>Tmed</t>
        </is>
      </c>
      <c r="B36" s="4" t="inlineStr">
        <is>
          <t>NOV</t>
        </is>
      </c>
      <c r="C36" s="4">
        <f>COUNT(Datos_mensuales!$AL$2:$AL$48)</f>
        <v/>
      </c>
      <c r="D36" s="5">
        <f>INTERCEPT(Datos_mensuales!$AL$2:$AL$48,Datos_mensuales!$C$2:$C$48)</f>
        <v/>
      </c>
      <c r="E36" s="7">
        <f>-SLOPE(Datos_mensuales!$AL$2:$AL$48,Datos_mensuales!$C$2:$C$48)</f>
        <v/>
      </c>
      <c r="F36" s="8">
        <f>1000*E36</f>
        <v/>
      </c>
      <c r="G36" s="5">
        <f>RSQ(Datos_mensuales!$AL$2:$AL$48,Datos_mensuales!$C$2:$C$48)</f>
        <v/>
      </c>
    </row>
    <row r="37">
      <c r="A37" s="4" t="inlineStr">
        <is>
          <t>Tmed</t>
        </is>
      </c>
      <c r="B37" s="4" t="inlineStr">
        <is>
          <t>DIC</t>
        </is>
      </c>
      <c r="C37" s="4">
        <f>COUNT(Datos_mensuales!$AM$2:$AM$48)</f>
        <v/>
      </c>
      <c r="D37" s="5">
        <f>INTERCEPT(Datos_mensuales!$AM$2:$AM$48,Datos_mensuales!$C$2:$C$48)</f>
        <v/>
      </c>
      <c r="E37" s="7">
        <f>-SLOPE(Datos_mensuales!$AM$2:$AM$48,Datos_mensuales!$C$2:$C$48)</f>
        <v/>
      </c>
      <c r="F37" s="8">
        <f>1000*E37</f>
        <v/>
      </c>
      <c r="G37" s="5">
        <f>RSQ(Datos_mensuales!$AM$2:$AM$48,Datos_mensuales!$C$2:$C$48)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14" customWidth="1" min="4" max="4"/>
    <col width="14" customWidth="1" min="5" max="5"/>
    <col width="11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2" t="inlineStr">
        <is>
          <t>Variable</t>
        </is>
      </c>
      <c r="B1" s="2" t="inlineStr">
        <is>
          <t>Atípicos</t>
        </is>
      </c>
      <c r="C1" s="2" t="inlineStr">
        <is>
          <t>n con todos</t>
        </is>
      </c>
      <c r="D1" s="2" t="inlineStr">
        <is>
          <t>α con todos (°C/km)</t>
        </is>
      </c>
      <c r="E1" s="2" t="inlineStr">
        <is>
          <t>T0 con todos (°C)</t>
        </is>
      </c>
      <c r="F1" s="2" t="inlineStr">
        <is>
          <t>R² con todos</t>
        </is>
      </c>
      <c r="G1" s="2" t="inlineStr">
        <is>
          <t>n sin atípicos</t>
        </is>
      </c>
      <c r="H1" s="2" t="inlineStr">
        <is>
          <t>α sin atípicos (°C/km)</t>
        </is>
      </c>
      <c r="I1" s="2" t="inlineStr">
        <is>
          <t>T0 sin atípicos (°C)</t>
        </is>
      </c>
      <c r="J1" s="2" t="inlineStr">
        <is>
          <t>R² sin atípicos</t>
        </is>
      </c>
    </row>
    <row r="2">
      <c r="A2" s="4" t="inlineStr">
        <is>
          <t>Tmax</t>
        </is>
      </c>
      <c r="B2" s="4" t="inlineStr">
        <is>
          <t>Cedral El, Brisas Las</t>
        </is>
      </c>
      <c r="C2" s="4" t="n">
        <v>47</v>
      </c>
      <c r="D2" s="4" t="n">
        <v>7.2824</v>
      </c>
      <c r="E2" s="4" t="n">
        <v>36.8012</v>
      </c>
      <c r="F2" s="4" t="n">
        <v>0.9822</v>
      </c>
      <c r="G2" s="4" t="n">
        <v>45</v>
      </c>
      <c r="H2" s="4" t="n">
        <v>7.5151</v>
      </c>
      <c r="I2" s="4" t="n">
        <v>37.1486</v>
      </c>
      <c r="J2" s="4" t="n">
        <v>0.9841</v>
      </c>
    </row>
    <row r="3">
      <c r="A3" s="4" t="inlineStr">
        <is>
          <t>Tmin</t>
        </is>
      </c>
      <c r="B3" s="4" t="inlineStr">
        <is>
          <t>San Felix</t>
        </is>
      </c>
      <c r="C3" s="4" t="n">
        <v>47</v>
      </c>
      <c r="D3" s="4" t="n">
        <v>5.6544</v>
      </c>
      <c r="E3" s="4" t="n">
        <v>24.213</v>
      </c>
      <c r="F3" s="4" t="n">
        <v>0.9638</v>
      </c>
      <c r="G3" s="4" t="n">
        <v>46</v>
      </c>
      <c r="H3" s="4" t="n">
        <v>5.5041</v>
      </c>
      <c r="I3" s="4" t="n">
        <v>24.0441</v>
      </c>
      <c r="J3" s="4" t="n">
        <v>0.9722</v>
      </c>
    </row>
    <row r="4">
      <c r="A4" s="4" t="inlineStr">
        <is>
          <t>Tmed</t>
        </is>
      </c>
      <c r="B4" s="4" t="inlineStr">
        <is>
          <t>San Felix, Brisas Las</t>
        </is>
      </c>
      <c r="C4" s="4" t="n">
        <v>47</v>
      </c>
      <c r="D4" s="4" t="n">
        <v>6.3989</v>
      </c>
      <c r="E4" s="4" t="n">
        <v>30.0437</v>
      </c>
      <c r="F4" s="4" t="n">
        <v>0.9863</v>
      </c>
      <c r="G4" s="4" t="n">
        <v>45</v>
      </c>
      <c r="H4" s="4" t="n">
        <v>6.4871</v>
      </c>
      <c r="I4" s="4" t="n">
        <v>30.1806</v>
      </c>
      <c r="J4" s="4" t="n">
        <v>0.9847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2026-10-16T22:09:05Z</dcterms:created>
  <dcterms:modified xmlns:dcterms="http://purl.org/dc/terms/" xmlns:xsi="http://www.w3.org/2001/XMLSchema-instance" xsi:type="dcterms:W3CDTF">2026-10-16T22:09:05Z</dcterms:modified>
</cp:coreProperties>
</file>